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FreeDataResources\analytics-using-excel\data-analysis-and-decision-making\chapter-2\"/>
    </mc:Choice>
  </mc:AlternateContent>
  <xr:revisionPtr revIDLastSave="0" documentId="13_ncr:1_{9AD7A7BF-5320-45FB-8947-2C0C6F81B0E3}" xr6:coauthVersionLast="47" xr6:coauthVersionMax="47" xr10:uidLastSave="{00000000-0000-0000-0000-000000000000}"/>
  <bookViews>
    <workbookView xWindow="-108" yWindow="-108" windowWidth="23256" windowHeight="12456" xr2:uid="{71914CDF-857D-4171-9EBE-7D47379F9EEB}"/>
  </bookViews>
  <sheets>
    <sheet name="Index" sheetId="4" r:id="rId1"/>
    <sheet name="2.3" sheetId="1" r:id="rId2"/>
    <sheet name="2.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C2" i="3"/>
  <c r="E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</calcChain>
</file>

<file path=xl/sharedStrings.xml><?xml version="1.0" encoding="utf-8"?>
<sst xmlns="http://schemas.openxmlformats.org/spreadsheetml/2006/main" count="154" uniqueCount="37">
  <si>
    <t>Person</t>
  </si>
  <si>
    <t>Age</t>
  </si>
  <si>
    <t>Gender</t>
  </si>
  <si>
    <t>State</t>
  </si>
  <si>
    <t>Children</t>
  </si>
  <si>
    <t>Salary</t>
  </si>
  <si>
    <t>Opinion</t>
  </si>
  <si>
    <t>Male</t>
  </si>
  <si>
    <t>Minnesota</t>
  </si>
  <si>
    <t>Female</t>
  </si>
  <si>
    <t>Texas</t>
  </si>
  <si>
    <t>Ohio</t>
  </si>
  <si>
    <t>Florida</t>
  </si>
  <si>
    <t>California</t>
  </si>
  <si>
    <t>New York</t>
  </si>
  <si>
    <t>Virginia</t>
  </si>
  <si>
    <t>Illinois</t>
  </si>
  <si>
    <t>Michigan</t>
  </si>
  <si>
    <t>Arizona</t>
  </si>
  <si>
    <t>Age lookup table(range name AgeLookup)</t>
  </si>
  <si>
    <t xml:space="preserve">Young </t>
  </si>
  <si>
    <t>Middle-Aged</t>
  </si>
  <si>
    <t>Elderly</t>
  </si>
  <si>
    <t>Opinion lookup table(range name OpinionLookup)</t>
  </si>
  <si>
    <t>Disagree</t>
  </si>
  <si>
    <t>Neutral</t>
  </si>
  <si>
    <t>Agree</t>
  </si>
  <si>
    <t>Age Category</t>
  </si>
  <si>
    <t>Opinion Category</t>
  </si>
  <si>
    <t>Gender Category</t>
  </si>
  <si>
    <t>Gender lookup table(range name GenderLookup)</t>
  </si>
  <si>
    <t>Strongly Disagree</t>
  </si>
  <si>
    <t>Strongly Agree</t>
  </si>
  <si>
    <t>Sheet</t>
  </si>
  <si>
    <t>Details</t>
  </si>
  <si>
    <t>Original Questionaire Data</t>
  </si>
  <si>
    <t>Coding Ordinal &amp; Nominal Variables(Used VLOOKUP to categorize or bin the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</si>
</sst>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9" tint="0.79998168889431442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3" borderId="4" xfId="0" applyFill="1" applyBorder="1" applyAlignment="1">
      <alignment horizontal="left"/>
    </xf>
    <xf numFmtId="6" fontId="0" fillId="3" borderId="4" xfId="0" applyNumberFormat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6" fontId="0" fillId="4" borderId="4" xfId="0" applyNumberFormat="1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2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6" fontId="0" fillId="4" borderId="13" xfId="0" applyNumberFormat="1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1" fillId="0" borderId="0" xfId="0" applyFont="1"/>
    <xf numFmtId="0" fontId="2" fillId="0" borderId="0" xfId="1"/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1" fillId="5" borderId="0" xfId="0" applyFont="1" applyFill="1"/>
    <xf numFmtId="0" fontId="0" fillId="5" borderId="0" xfId="0" applyFill="1"/>
  </cellXfs>
  <cellStyles count="2">
    <cellStyle name="Hyperlink" xfId="1" builtinId="8"/>
    <cellStyle name="Normal" xfId="0" builtinId="0"/>
  </cellStyles>
  <dxfs count="2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$&quot;#,##0_);[Red]\(&quot;$&quot;#,##0\)"/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$&quot;#,##0_);[Red]\(&quot;$&quot;#,##0\)"/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0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4" tint="0.7999816888943144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</xdr:colOff>
      <xdr:row>1</xdr:row>
      <xdr:rowOff>60960</xdr:rowOff>
    </xdr:from>
    <xdr:to>
      <xdr:col>20</xdr:col>
      <xdr:colOff>281940</xdr:colOff>
      <xdr:row>11</xdr:row>
      <xdr:rowOff>60960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B9E56A2-A81A-C038-0C90-AB7A82422719}"/>
            </a:ext>
          </a:extLst>
        </xdr:cNvPr>
        <xdr:cNvSpPr/>
      </xdr:nvSpPr>
      <xdr:spPr>
        <a:xfrm>
          <a:off x="10157460" y="243840"/>
          <a:ext cx="3916680" cy="183642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FORMULAS</a:t>
          </a:r>
        </a:p>
        <a:p>
          <a:pPr algn="l"/>
          <a:endParaRPr lang="en-US" sz="1100" b="1"/>
        </a:p>
        <a:p>
          <a:pPr algn="l"/>
          <a:r>
            <a:rPr lang="en-US" sz="1100" b="0"/>
            <a:t>Gender  =VLOOKUP(D2, $K$11:$L$12, 2,TRUE)</a:t>
          </a:r>
        </a:p>
        <a:p>
          <a:pPr algn="l"/>
          <a:endParaRPr lang="en-US" sz="1100" b="0"/>
        </a:p>
        <a:p>
          <a:pPr algn="l"/>
          <a:r>
            <a:rPr lang="en-US" sz="1100" b="0"/>
            <a:t>Age  =VLOOKUP(B2, $K$15:$L$17, 2,TRUE)</a:t>
          </a:r>
        </a:p>
        <a:p>
          <a:pPr algn="l"/>
          <a:endParaRPr lang="en-US" sz="1100" b="0"/>
        </a:p>
        <a:p>
          <a:pPr algn="l"/>
          <a:r>
            <a:rPr lang="en-US" sz="1100" b="0"/>
            <a:t>Opinion  =VLOOKUP(I2,$K$20:$L$24,2,TRUE)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D6CFE-21B1-4CD1-8F4A-F629539E4679}" name="Table2" displayName="Table2" ref="A1:G31" totalsRowShown="0" headerRowDxfId="26" dataDxfId="24" headerRowBorderDxfId="25" tableBorderDxfId="23" totalsRowBorderDxfId="22">
  <autoFilter ref="A1:G31" xr:uid="{B0DD6CFE-21B1-4CD1-8F4A-F629539E4679}"/>
  <tableColumns count="7">
    <tableColumn id="1" xr3:uid="{01A8857F-F0E2-42B5-8F06-EFA6C1835001}" name="Person" dataDxfId="21"/>
    <tableColumn id="2" xr3:uid="{152451BF-C52D-4E21-B3B7-ED1F6BA61D8C}" name="Age" dataDxfId="20"/>
    <tableColumn id="3" xr3:uid="{44F78DF7-335C-4541-ACE4-1B0C72F2350D}" name="Gender" dataDxfId="19"/>
    <tableColumn id="4" xr3:uid="{E4BD3CE1-F6CE-4589-BD42-1E3E789EE6B8}" name="State" dataDxfId="18"/>
    <tableColumn id="5" xr3:uid="{28337353-7384-4FE3-A129-22EA7F4AFD2C}" name="Children" dataDxfId="17"/>
    <tableColumn id="6" xr3:uid="{B30BFEEE-5866-43B3-BB87-4876EA77A2AE}" name="Salary" dataDxfId="16"/>
    <tableColumn id="7" xr3:uid="{CFDFAB48-60D4-4C55-97E3-98362F42668F}" name="Opinion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AEA4DD-8326-434C-85B5-9108E0B85DEB}" name="Table1" displayName="Table1" ref="A1:J31" totalsRowShown="0" headerRowDxfId="14" dataDxfId="12" headerRowBorderDxfId="13" tableBorderDxfId="11" totalsRowBorderDxfId="10">
  <autoFilter ref="A1:J31" xr:uid="{F4AEA4DD-8326-434C-85B5-9108E0B85DEB}"/>
  <tableColumns count="10">
    <tableColumn id="1" xr3:uid="{4E5CE39B-7AA7-4EC2-BEE2-7D4A420AA785}" name="Person" dataDxfId="9"/>
    <tableColumn id="2" xr3:uid="{DD8A88B0-CE6F-481C-BC50-631C0E816FF6}" name="Age" dataDxfId="8"/>
    <tableColumn id="3" xr3:uid="{4B4F84F6-49B5-4030-A72A-EAF8B6D9988B}" name="Age Category" dataDxfId="7">
      <calculatedColumnFormula>VLOOKUP(B2, $K$15:$L$17, 2,TRUE)</calculatedColumnFormula>
    </tableColumn>
    <tableColumn id="4" xr3:uid="{57375680-A3A8-46F5-B17D-97C90D61C109}" name="Gender" dataDxfId="6"/>
    <tableColumn id="5" xr3:uid="{88CCC55D-F6C8-42D8-B69D-93E23BD93602}" name="Gender Category" dataDxfId="5">
      <calculatedColumnFormula>VLOOKUP(D2, $K$11:$L$12, 2,TRUE)</calculatedColumnFormula>
    </tableColumn>
    <tableColumn id="6" xr3:uid="{35CAC4FF-9A9E-4AA6-8403-9D32B159BFDD}" name="State" dataDxfId="4"/>
    <tableColumn id="7" xr3:uid="{EA581172-7CB5-4B0D-A648-8ED6B40667D1}" name="Children" dataDxfId="3"/>
    <tableColumn id="8" xr3:uid="{FED50D43-FC89-4310-B953-A0B271022CBB}" name="Salary" dataDxfId="2"/>
    <tableColumn id="9" xr3:uid="{0E6EDDEA-A471-4B96-9B32-DA8692677E74}" name="Opinion" dataDxfId="1"/>
    <tableColumn id="10" xr3:uid="{56EEDE73-00FE-436A-94B3-FF71B502CB6C}" name="Opinion Category" dataDxfId="0">
      <calculatedColumnFormula>VLOOKUP(I2,$K$20:$L$24,2,TRUE)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7348-2B64-43B7-AB00-156E76612877}">
  <dimension ref="A1:B3"/>
  <sheetViews>
    <sheetView tabSelected="1" workbookViewId="0">
      <selection activeCell="F15" sqref="F15"/>
    </sheetView>
  </sheetViews>
  <sheetFormatPr defaultRowHeight="14.4" x14ac:dyDescent="0.3"/>
  <cols>
    <col min="2" max="2" width="48" customWidth="1"/>
  </cols>
  <sheetData>
    <row r="1" spans="1:2" s="29" customFormat="1" x14ac:dyDescent="0.3">
      <c r="A1" s="28" t="s">
        <v>33</v>
      </c>
      <c r="B1" s="28" t="s">
        <v>34</v>
      </c>
    </row>
    <row r="2" spans="1:2" x14ac:dyDescent="0.3">
      <c r="A2" s="21">
        <v>2.2999999999999998</v>
      </c>
      <c r="B2" s="22" t="s">
        <v>35</v>
      </c>
    </row>
    <row r="3" spans="1:2" x14ac:dyDescent="0.3">
      <c r="A3" s="21">
        <v>2.4</v>
      </c>
      <c r="B3" s="22" t="s">
        <v>36</v>
      </c>
    </row>
  </sheetData>
  <hyperlinks>
    <hyperlink ref="B2" location="'2.3'!A1" display="Original Questionaire Data" xr:uid="{DC24705B-74F8-412E-AEF9-6512094DC5E5}"/>
    <hyperlink ref="B3" location="'2.4'!A1" display="Coding Ordinal &amp; Nominal Variables Using VLOOKUP" xr:uid="{765A046F-34C8-488C-B38B-0B038D10D11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6596-BB32-4FA1-8574-BB739FE242A9}">
  <dimension ref="A1:G31"/>
  <sheetViews>
    <sheetView workbookViewId="0">
      <selection sqref="A1:XFD1"/>
    </sheetView>
  </sheetViews>
  <sheetFormatPr defaultRowHeight="14.4" x14ac:dyDescent="0.3"/>
  <cols>
    <col min="1" max="4" width="8.88671875" style="1"/>
    <col min="5" max="5" width="9.5546875" style="1" customWidth="1"/>
    <col min="6" max="6" width="10.6640625" style="1" customWidth="1"/>
    <col min="7" max="7" width="9.21875" style="1" customWidth="1"/>
    <col min="8" max="16384" width="8.88671875" style="1"/>
  </cols>
  <sheetData>
    <row r="1" spans="1:7" s="26" customFormat="1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</row>
    <row r="2" spans="1:7" x14ac:dyDescent="0.3">
      <c r="A2" s="3">
        <v>1</v>
      </c>
      <c r="B2" s="3">
        <v>35</v>
      </c>
      <c r="C2" s="3" t="s">
        <v>7</v>
      </c>
      <c r="D2" s="3" t="s">
        <v>8</v>
      </c>
      <c r="E2" s="3">
        <v>1</v>
      </c>
      <c r="F2" s="4">
        <v>65400</v>
      </c>
      <c r="G2" s="3">
        <v>5</v>
      </c>
    </row>
    <row r="3" spans="1:7" x14ac:dyDescent="0.3">
      <c r="A3" s="5">
        <v>2</v>
      </c>
      <c r="B3" s="5">
        <v>61</v>
      </c>
      <c r="C3" s="5" t="s">
        <v>9</v>
      </c>
      <c r="D3" s="5" t="s">
        <v>10</v>
      </c>
      <c r="E3" s="5">
        <v>2</v>
      </c>
      <c r="F3" s="6">
        <v>62000</v>
      </c>
      <c r="G3" s="5">
        <v>1</v>
      </c>
    </row>
    <row r="4" spans="1:7" x14ac:dyDescent="0.3">
      <c r="A4" s="3">
        <v>3</v>
      </c>
      <c r="B4" s="3">
        <v>35</v>
      </c>
      <c r="C4" s="3" t="s">
        <v>7</v>
      </c>
      <c r="D4" s="3" t="s">
        <v>11</v>
      </c>
      <c r="E4" s="3">
        <v>0</v>
      </c>
      <c r="F4" s="4">
        <v>63200</v>
      </c>
      <c r="G4" s="3">
        <v>3</v>
      </c>
    </row>
    <row r="5" spans="1:7" x14ac:dyDescent="0.3">
      <c r="A5" s="5">
        <v>4</v>
      </c>
      <c r="B5" s="5">
        <v>37</v>
      </c>
      <c r="C5" s="5" t="s">
        <v>7</v>
      </c>
      <c r="D5" s="5" t="s">
        <v>12</v>
      </c>
      <c r="E5" s="5">
        <v>2</v>
      </c>
      <c r="F5" s="6">
        <v>52000</v>
      </c>
      <c r="G5" s="5">
        <v>5</v>
      </c>
    </row>
    <row r="6" spans="1:7" x14ac:dyDescent="0.3">
      <c r="A6" s="3">
        <v>5</v>
      </c>
      <c r="B6" s="3">
        <v>32</v>
      </c>
      <c r="C6" s="3" t="s">
        <v>9</v>
      </c>
      <c r="D6" s="3" t="s">
        <v>13</v>
      </c>
      <c r="E6" s="3">
        <v>3</v>
      </c>
      <c r="F6" s="4">
        <v>81400</v>
      </c>
      <c r="G6" s="3">
        <v>1</v>
      </c>
    </row>
    <row r="7" spans="1:7" x14ac:dyDescent="0.3">
      <c r="A7" s="5">
        <v>6</v>
      </c>
      <c r="B7" s="5">
        <v>33</v>
      </c>
      <c r="C7" s="5" t="s">
        <v>9</v>
      </c>
      <c r="D7" s="5" t="s">
        <v>14</v>
      </c>
      <c r="E7" s="5">
        <v>3</v>
      </c>
      <c r="F7" s="6">
        <v>46300</v>
      </c>
      <c r="G7" s="5">
        <v>5</v>
      </c>
    </row>
    <row r="8" spans="1:7" x14ac:dyDescent="0.3">
      <c r="A8" s="3">
        <v>7</v>
      </c>
      <c r="B8" s="3">
        <v>65</v>
      </c>
      <c r="C8" s="3" t="s">
        <v>9</v>
      </c>
      <c r="D8" s="3" t="s">
        <v>8</v>
      </c>
      <c r="E8" s="3">
        <v>2</v>
      </c>
      <c r="F8" s="4">
        <v>49600</v>
      </c>
      <c r="G8" s="3">
        <v>1</v>
      </c>
    </row>
    <row r="9" spans="1:7" x14ac:dyDescent="0.3">
      <c r="A9" s="5">
        <v>8</v>
      </c>
      <c r="B9" s="5">
        <v>45</v>
      </c>
      <c r="C9" s="5" t="s">
        <v>7</v>
      </c>
      <c r="D9" s="5" t="s">
        <v>14</v>
      </c>
      <c r="E9" s="5">
        <v>1</v>
      </c>
      <c r="F9" s="6">
        <v>45900</v>
      </c>
      <c r="G9" s="5">
        <v>5</v>
      </c>
    </row>
    <row r="10" spans="1:7" x14ac:dyDescent="0.3">
      <c r="A10" s="3">
        <v>9</v>
      </c>
      <c r="B10" s="3">
        <v>40</v>
      </c>
      <c r="C10" s="3" t="s">
        <v>7</v>
      </c>
      <c r="D10" s="3" t="s">
        <v>10</v>
      </c>
      <c r="E10" s="3">
        <v>3</v>
      </c>
      <c r="F10" s="4">
        <v>47700</v>
      </c>
      <c r="G10" s="3">
        <v>4</v>
      </c>
    </row>
    <row r="11" spans="1:7" x14ac:dyDescent="0.3">
      <c r="A11" s="5">
        <v>10</v>
      </c>
      <c r="B11" s="5">
        <v>32</v>
      </c>
      <c r="C11" s="5" t="s">
        <v>9</v>
      </c>
      <c r="D11" s="5" t="s">
        <v>10</v>
      </c>
      <c r="E11" s="5">
        <v>1</v>
      </c>
      <c r="F11" s="6">
        <v>59900</v>
      </c>
      <c r="G11" s="5">
        <v>4</v>
      </c>
    </row>
    <row r="12" spans="1:7" x14ac:dyDescent="0.3">
      <c r="A12" s="3">
        <v>11</v>
      </c>
      <c r="B12" s="3">
        <v>57</v>
      </c>
      <c r="C12" s="3" t="s">
        <v>7</v>
      </c>
      <c r="D12" s="3" t="s">
        <v>14</v>
      </c>
      <c r="E12" s="3">
        <v>1</v>
      </c>
      <c r="F12" s="4">
        <v>48100</v>
      </c>
      <c r="G12" s="3">
        <v>4</v>
      </c>
    </row>
    <row r="13" spans="1:7" x14ac:dyDescent="0.3">
      <c r="A13" s="5">
        <v>12</v>
      </c>
      <c r="B13" s="5">
        <v>38</v>
      </c>
      <c r="C13" s="5" t="s">
        <v>9</v>
      </c>
      <c r="D13" s="5" t="s">
        <v>15</v>
      </c>
      <c r="E13" s="5">
        <v>0</v>
      </c>
      <c r="F13" s="6">
        <v>58100</v>
      </c>
      <c r="G13" s="5">
        <v>3</v>
      </c>
    </row>
    <row r="14" spans="1:7" x14ac:dyDescent="0.3">
      <c r="A14" s="3">
        <v>13</v>
      </c>
      <c r="B14" s="3">
        <v>37</v>
      </c>
      <c r="C14" s="3" t="s">
        <v>9</v>
      </c>
      <c r="D14" s="3" t="s">
        <v>16</v>
      </c>
      <c r="E14" s="3">
        <v>2</v>
      </c>
      <c r="F14" s="4">
        <v>56000</v>
      </c>
      <c r="G14" s="3">
        <v>1</v>
      </c>
    </row>
    <row r="15" spans="1:7" x14ac:dyDescent="0.3">
      <c r="A15" s="5">
        <v>14</v>
      </c>
      <c r="B15" s="5">
        <v>42</v>
      </c>
      <c r="C15" s="5" t="s">
        <v>9</v>
      </c>
      <c r="D15" s="5" t="s">
        <v>15</v>
      </c>
      <c r="E15" s="5">
        <v>2</v>
      </c>
      <c r="F15" s="6">
        <v>53400</v>
      </c>
      <c r="G15" s="5">
        <v>1</v>
      </c>
    </row>
    <row r="16" spans="1:7" x14ac:dyDescent="0.3">
      <c r="A16" s="3">
        <v>15</v>
      </c>
      <c r="B16" s="3">
        <v>38</v>
      </c>
      <c r="C16" s="3" t="s">
        <v>9</v>
      </c>
      <c r="D16" s="3" t="s">
        <v>14</v>
      </c>
      <c r="E16" s="3">
        <v>2</v>
      </c>
      <c r="F16" s="4">
        <v>39000</v>
      </c>
      <c r="G16" s="3">
        <v>2</v>
      </c>
    </row>
    <row r="17" spans="1:7" x14ac:dyDescent="0.3">
      <c r="A17" s="5">
        <v>16</v>
      </c>
      <c r="B17" s="5">
        <v>48</v>
      </c>
      <c r="C17" s="5" t="s">
        <v>7</v>
      </c>
      <c r="D17" s="5" t="s">
        <v>17</v>
      </c>
      <c r="E17" s="5">
        <v>1</v>
      </c>
      <c r="F17" s="6">
        <v>61500</v>
      </c>
      <c r="G17" s="5">
        <v>2</v>
      </c>
    </row>
    <row r="18" spans="1:7" x14ac:dyDescent="0.3">
      <c r="A18" s="3">
        <v>17</v>
      </c>
      <c r="B18" s="3">
        <v>40</v>
      </c>
      <c r="C18" s="3" t="s">
        <v>7</v>
      </c>
      <c r="D18" s="3" t="s">
        <v>11</v>
      </c>
      <c r="E18" s="3">
        <v>0</v>
      </c>
      <c r="F18" s="4">
        <v>37700</v>
      </c>
      <c r="G18" s="3">
        <v>1</v>
      </c>
    </row>
    <row r="19" spans="1:7" x14ac:dyDescent="0.3">
      <c r="A19" s="5">
        <v>18</v>
      </c>
      <c r="B19" s="5">
        <v>57</v>
      </c>
      <c r="C19" s="5" t="s">
        <v>9</v>
      </c>
      <c r="D19" s="5" t="s">
        <v>17</v>
      </c>
      <c r="E19" s="5">
        <v>2</v>
      </c>
      <c r="F19" s="6">
        <v>36700</v>
      </c>
      <c r="G19" s="5">
        <v>4</v>
      </c>
    </row>
    <row r="20" spans="1:7" x14ac:dyDescent="0.3">
      <c r="A20" s="3">
        <v>19</v>
      </c>
      <c r="B20" s="3">
        <v>44</v>
      </c>
      <c r="C20" s="3" t="s">
        <v>7</v>
      </c>
      <c r="D20" s="3" t="s">
        <v>12</v>
      </c>
      <c r="E20" s="3">
        <v>2</v>
      </c>
      <c r="F20" s="4">
        <v>45200</v>
      </c>
      <c r="G20" s="3">
        <v>3</v>
      </c>
    </row>
    <row r="21" spans="1:7" x14ac:dyDescent="0.3">
      <c r="A21" s="5">
        <v>20</v>
      </c>
      <c r="B21" s="5">
        <v>40</v>
      </c>
      <c r="C21" s="5" t="s">
        <v>7</v>
      </c>
      <c r="D21" s="5" t="s">
        <v>17</v>
      </c>
      <c r="E21" s="5">
        <v>0</v>
      </c>
      <c r="F21" s="6">
        <v>59000</v>
      </c>
      <c r="G21" s="5">
        <v>4</v>
      </c>
    </row>
    <row r="22" spans="1:7" x14ac:dyDescent="0.3">
      <c r="A22" s="3">
        <v>21</v>
      </c>
      <c r="B22" s="3">
        <v>21</v>
      </c>
      <c r="C22" s="3" t="s">
        <v>9</v>
      </c>
      <c r="D22" s="3" t="s">
        <v>8</v>
      </c>
      <c r="E22" s="3">
        <v>2</v>
      </c>
      <c r="F22" s="4">
        <v>54300</v>
      </c>
      <c r="G22" s="3">
        <v>2</v>
      </c>
    </row>
    <row r="23" spans="1:7" x14ac:dyDescent="0.3">
      <c r="A23" s="5">
        <v>22</v>
      </c>
      <c r="B23" s="5">
        <v>49</v>
      </c>
      <c r="C23" s="5" t="s">
        <v>7</v>
      </c>
      <c r="D23" s="5" t="s">
        <v>14</v>
      </c>
      <c r="E23" s="5">
        <v>1</v>
      </c>
      <c r="F23" s="6">
        <v>62100</v>
      </c>
      <c r="G23" s="5">
        <v>4</v>
      </c>
    </row>
    <row r="24" spans="1:7" x14ac:dyDescent="0.3">
      <c r="A24" s="3">
        <v>23</v>
      </c>
      <c r="B24" s="3">
        <v>34</v>
      </c>
      <c r="C24" s="3" t="s">
        <v>7</v>
      </c>
      <c r="D24" s="3" t="s">
        <v>14</v>
      </c>
      <c r="E24" s="3">
        <v>0</v>
      </c>
      <c r="F24" s="4">
        <v>78000</v>
      </c>
      <c r="G24" s="3">
        <v>3</v>
      </c>
    </row>
    <row r="25" spans="1:7" x14ac:dyDescent="0.3">
      <c r="A25" s="5">
        <v>24</v>
      </c>
      <c r="B25" s="5">
        <v>49</v>
      </c>
      <c r="C25" s="5" t="s">
        <v>7</v>
      </c>
      <c r="D25" s="5" t="s">
        <v>18</v>
      </c>
      <c r="E25" s="5">
        <v>0</v>
      </c>
      <c r="F25" s="6">
        <v>43200</v>
      </c>
      <c r="G25" s="5">
        <v>5</v>
      </c>
    </row>
    <row r="26" spans="1:7" x14ac:dyDescent="0.3">
      <c r="A26" s="3">
        <v>25</v>
      </c>
      <c r="B26" s="3">
        <v>40</v>
      </c>
      <c r="C26" s="3" t="s">
        <v>7</v>
      </c>
      <c r="D26" s="3" t="s">
        <v>18</v>
      </c>
      <c r="E26" s="3">
        <v>1</v>
      </c>
      <c r="F26" s="4">
        <v>44500</v>
      </c>
      <c r="G26" s="3">
        <v>3</v>
      </c>
    </row>
    <row r="27" spans="1:7" x14ac:dyDescent="0.3">
      <c r="A27" s="5">
        <v>26</v>
      </c>
      <c r="B27" s="5">
        <v>38</v>
      </c>
      <c r="C27" s="5" t="s">
        <v>7</v>
      </c>
      <c r="D27" s="5" t="s">
        <v>11</v>
      </c>
      <c r="E27" s="5">
        <v>1</v>
      </c>
      <c r="F27" s="6">
        <v>43300</v>
      </c>
      <c r="G27" s="5">
        <v>1</v>
      </c>
    </row>
    <row r="28" spans="1:7" x14ac:dyDescent="0.3">
      <c r="A28" s="3">
        <v>27</v>
      </c>
      <c r="B28" s="3">
        <v>27</v>
      </c>
      <c r="C28" s="3" t="s">
        <v>7</v>
      </c>
      <c r="D28" s="3" t="s">
        <v>16</v>
      </c>
      <c r="E28" s="3">
        <v>3</v>
      </c>
      <c r="F28" s="4">
        <v>45400</v>
      </c>
      <c r="G28" s="3">
        <v>2</v>
      </c>
    </row>
    <row r="29" spans="1:7" x14ac:dyDescent="0.3">
      <c r="A29" s="5">
        <v>28</v>
      </c>
      <c r="B29" s="5">
        <v>63</v>
      </c>
      <c r="C29" s="5" t="s">
        <v>7</v>
      </c>
      <c r="D29" s="5" t="s">
        <v>17</v>
      </c>
      <c r="E29" s="5">
        <v>2</v>
      </c>
      <c r="F29" s="6">
        <v>53900</v>
      </c>
      <c r="G29" s="5">
        <v>1</v>
      </c>
    </row>
    <row r="30" spans="1:7" x14ac:dyDescent="0.3">
      <c r="A30" s="3">
        <v>29</v>
      </c>
      <c r="B30" s="3">
        <v>52</v>
      </c>
      <c r="C30" s="3" t="s">
        <v>7</v>
      </c>
      <c r="D30" s="3" t="s">
        <v>13</v>
      </c>
      <c r="E30" s="3">
        <v>1</v>
      </c>
      <c r="F30" s="4">
        <v>44100</v>
      </c>
      <c r="G30" s="3">
        <v>3</v>
      </c>
    </row>
    <row r="31" spans="1:7" x14ac:dyDescent="0.3">
      <c r="A31" s="5">
        <v>30</v>
      </c>
      <c r="B31" s="5">
        <v>48</v>
      </c>
      <c r="C31" s="5" t="s">
        <v>9</v>
      </c>
      <c r="D31" s="5" t="s">
        <v>14</v>
      </c>
      <c r="E31" s="5">
        <v>2</v>
      </c>
      <c r="F31" s="6">
        <v>31000</v>
      </c>
      <c r="G31" s="5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1E11-A306-4BC8-9749-55836136D78B}">
  <dimension ref="A1:L31"/>
  <sheetViews>
    <sheetView workbookViewId="0">
      <selection sqref="A1:XFD1"/>
    </sheetView>
  </sheetViews>
  <sheetFormatPr defaultRowHeight="14.4" x14ac:dyDescent="0.3"/>
  <cols>
    <col min="1" max="2" width="8.88671875" style="1"/>
    <col min="3" max="3" width="15.44140625" style="1" customWidth="1"/>
    <col min="4" max="4" width="8.88671875" style="1"/>
    <col min="5" max="5" width="7.21875" style="1" customWidth="1"/>
    <col min="6" max="6" width="8.88671875" style="1"/>
    <col min="7" max="7" width="9.5546875" style="1" customWidth="1"/>
    <col min="8" max="8" width="10.6640625" style="1" customWidth="1"/>
    <col min="9" max="9" width="9.21875" style="1" customWidth="1"/>
    <col min="10" max="10" width="17.5546875" style="1" customWidth="1"/>
    <col min="11" max="11" width="8.88671875" style="1"/>
    <col min="12" max="12" width="15.88671875" style="1" customWidth="1"/>
    <col min="13" max="16384" width="8.88671875" style="1"/>
  </cols>
  <sheetData>
    <row r="1" spans="1:12" s="26" customFormat="1" x14ac:dyDescent="0.3">
      <c r="A1" s="23" t="s">
        <v>0</v>
      </c>
      <c r="B1" s="24" t="s">
        <v>1</v>
      </c>
      <c r="C1" s="24" t="s">
        <v>27</v>
      </c>
      <c r="D1" s="24" t="s">
        <v>2</v>
      </c>
      <c r="E1" s="24" t="s">
        <v>29</v>
      </c>
      <c r="F1" s="24" t="s">
        <v>3</v>
      </c>
      <c r="G1" s="24" t="s">
        <v>4</v>
      </c>
      <c r="H1" s="24" t="s">
        <v>5</v>
      </c>
      <c r="I1" s="24" t="s">
        <v>6</v>
      </c>
      <c r="J1" s="25" t="s">
        <v>28</v>
      </c>
    </row>
    <row r="2" spans="1:12" x14ac:dyDescent="0.3">
      <c r="A2" s="7">
        <v>1</v>
      </c>
      <c r="B2" s="3">
        <v>35</v>
      </c>
      <c r="C2" s="3" t="str">
        <f>VLOOKUP(B2, $K$15:$L$17, 2,TRUE)</f>
        <v>Middle-Aged</v>
      </c>
      <c r="D2" s="3" t="s">
        <v>7</v>
      </c>
      <c r="E2" s="3">
        <f>VLOOKUP(D2, $K$11:$L$12, 2,TRUE)</f>
        <v>1</v>
      </c>
      <c r="F2" s="3" t="s">
        <v>8</v>
      </c>
      <c r="G2" s="3">
        <v>1</v>
      </c>
      <c r="H2" s="4">
        <v>65400</v>
      </c>
      <c r="I2" s="3">
        <v>5</v>
      </c>
      <c r="J2" s="8" t="str">
        <f>VLOOKUP(I2,$K$20:$L$24,2,TRUE)</f>
        <v>Strongly Agree</v>
      </c>
    </row>
    <row r="3" spans="1:12" x14ac:dyDescent="0.3">
      <c r="A3" s="9">
        <v>2</v>
      </c>
      <c r="B3" s="5">
        <v>61</v>
      </c>
      <c r="C3" s="3" t="str">
        <f t="shared" ref="C3:C31" si="0">VLOOKUP(B3, $K$15:$L$17, 2,TRUE)</f>
        <v>Elderly</v>
      </c>
      <c r="D3" s="5" t="s">
        <v>9</v>
      </c>
      <c r="E3" s="3">
        <f t="shared" ref="E3:E31" si="1">VLOOKUP(D3, $K$11:$L$12, 2,TRUE)</f>
        <v>0</v>
      </c>
      <c r="F3" s="5" t="s">
        <v>10</v>
      </c>
      <c r="G3" s="5">
        <v>2</v>
      </c>
      <c r="H3" s="6">
        <v>62000</v>
      </c>
      <c r="I3" s="5">
        <v>1</v>
      </c>
      <c r="J3" s="8" t="str">
        <f t="shared" ref="J3:J31" si="2">VLOOKUP(I3,$K$20:$L$24,2,TRUE)</f>
        <v>Strongly Disagree</v>
      </c>
    </row>
    <row r="4" spans="1:12" x14ac:dyDescent="0.3">
      <c r="A4" s="7">
        <v>3</v>
      </c>
      <c r="B4" s="3">
        <v>35</v>
      </c>
      <c r="C4" s="3" t="str">
        <f t="shared" si="0"/>
        <v>Middle-Aged</v>
      </c>
      <c r="D4" s="3" t="s">
        <v>7</v>
      </c>
      <c r="E4" s="3">
        <f t="shared" si="1"/>
        <v>1</v>
      </c>
      <c r="F4" s="3" t="s">
        <v>11</v>
      </c>
      <c r="G4" s="3">
        <v>0</v>
      </c>
      <c r="H4" s="4">
        <v>63200</v>
      </c>
      <c r="I4" s="3">
        <v>3</v>
      </c>
      <c r="J4" s="8" t="str">
        <f t="shared" si="2"/>
        <v>Neutral</v>
      </c>
    </row>
    <row r="5" spans="1:12" x14ac:dyDescent="0.3">
      <c r="A5" s="9">
        <v>4</v>
      </c>
      <c r="B5" s="5">
        <v>37</v>
      </c>
      <c r="C5" s="3" t="str">
        <f t="shared" si="0"/>
        <v>Middle-Aged</v>
      </c>
      <c r="D5" s="5" t="s">
        <v>7</v>
      </c>
      <c r="E5" s="3">
        <f t="shared" si="1"/>
        <v>1</v>
      </c>
      <c r="F5" s="5" t="s">
        <v>12</v>
      </c>
      <c r="G5" s="5">
        <v>2</v>
      </c>
      <c r="H5" s="6">
        <v>52000</v>
      </c>
      <c r="I5" s="5">
        <v>5</v>
      </c>
      <c r="J5" s="8" t="str">
        <f t="shared" si="2"/>
        <v>Strongly Agree</v>
      </c>
    </row>
    <row r="6" spans="1:12" x14ac:dyDescent="0.3">
      <c r="A6" s="7">
        <v>5</v>
      </c>
      <c r="B6" s="3">
        <v>32</v>
      </c>
      <c r="C6" s="3" t="str">
        <f t="shared" si="0"/>
        <v xml:space="preserve">Young </v>
      </c>
      <c r="D6" s="3" t="s">
        <v>9</v>
      </c>
      <c r="E6" s="3">
        <f t="shared" si="1"/>
        <v>0</v>
      </c>
      <c r="F6" s="3" t="s">
        <v>13</v>
      </c>
      <c r="G6" s="3">
        <v>3</v>
      </c>
      <c r="H6" s="4">
        <v>81400</v>
      </c>
      <c r="I6" s="3">
        <v>1</v>
      </c>
      <c r="J6" s="8" t="str">
        <f t="shared" si="2"/>
        <v>Strongly Disagree</v>
      </c>
    </row>
    <row r="7" spans="1:12" x14ac:dyDescent="0.3">
      <c r="A7" s="9">
        <v>6</v>
      </c>
      <c r="B7" s="5">
        <v>33</v>
      </c>
      <c r="C7" s="3" t="str">
        <f t="shared" si="0"/>
        <v xml:space="preserve">Young </v>
      </c>
      <c r="D7" s="5" t="s">
        <v>9</v>
      </c>
      <c r="E7" s="3">
        <f t="shared" si="1"/>
        <v>0</v>
      </c>
      <c r="F7" s="5" t="s">
        <v>14</v>
      </c>
      <c r="G7" s="5">
        <v>3</v>
      </c>
      <c r="H7" s="6">
        <v>46300</v>
      </c>
      <c r="I7" s="5">
        <v>5</v>
      </c>
      <c r="J7" s="8" t="str">
        <f t="shared" si="2"/>
        <v>Strongly Agree</v>
      </c>
    </row>
    <row r="8" spans="1:12" x14ac:dyDescent="0.3">
      <c r="A8" s="7">
        <v>7</v>
      </c>
      <c r="B8" s="3">
        <v>65</v>
      </c>
      <c r="C8" s="3" t="str">
        <f t="shared" si="0"/>
        <v>Elderly</v>
      </c>
      <c r="D8" s="3" t="s">
        <v>9</v>
      </c>
      <c r="E8" s="3">
        <f t="shared" si="1"/>
        <v>0</v>
      </c>
      <c r="F8" s="3" t="s">
        <v>8</v>
      </c>
      <c r="G8" s="3">
        <v>2</v>
      </c>
      <c r="H8" s="4">
        <v>49600</v>
      </c>
      <c r="I8" s="3">
        <v>1</v>
      </c>
      <c r="J8" s="8" t="str">
        <f t="shared" si="2"/>
        <v>Strongly Disagree</v>
      </c>
    </row>
    <row r="9" spans="1:12" x14ac:dyDescent="0.3">
      <c r="A9" s="9">
        <v>8</v>
      </c>
      <c r="B9" s="5">
        <v>45</v>
      </c>
      <c r="C9" s="3" t="str">
        <f t="shared" si="0"/>
        <v>Middle-Aged</v>
      </c>
      <c r="D9" s="5" t="s">
        <v>7</v>
      </c>
      <c r="E9" s="3">
        <f t="shared" si="1"/>
        <v>1</v>
      </c>
      <c r="F9" s="5" t="s">
        <v>14</v>
      </c>
      <c r="G9" s="5">
        <v>1</v>
      </c>
      <c r="H9" s="6">
        <v>45900</v>
      </c>
      <c r="I9" s="5">
        <v>5</v>
      </c>
      <c r="J9" s="8" t="str">
        <f t="shared" si="2"/>
        <v>Strongly Agree</v>
      </c>
    </row>
    <row r="10" spans="1:12" ht="15" thickBot="1" x14ac:dyDescent="0.35">
      <c r="A10" s="7">
        <v>9</v>
      </c>
      <c r="B10" s="3">
        <v>40</v>
      </c>
      <c r="C10" s="3" t="str">
        <f t="shared" si="0"/>
        <v>Middle-Aged</v>
      </c>
      <c r="D10" s="3" t="s">
        <v>7</v>
      </c>
      <c r="E10" s="3">
        <f t="shared" si="1"/>
        <v>1</v>
      </c>
      <c r="F10" s="3" t="s">
        <v>10</v>
      </c>
      <c r="G10" s="3">
        <v>3</v>
      </c>
      <c r="H10" s="4">
        <v>47700</v>
      </c>
      <c r="I10" s="3">
        <v>4</v>
      </c>
      <c r="J10" s="8" t="str">
        <f t="shared" si="2"/>
        <v>Agree</v>
      </c>
      <c r="K10" s="2" t="s">
        <v>30</v>
      </c>
    </row>
    <row r="11" spans="1:12" x14ac:dyDescent="0.3">
      <c r="A11" s="9">
        <v>10</v>
      </c>
      <c r="B11" s="5">
        <v>32</v>
      </c>
      <c r="C11" s="3" t="str">
        <f t="shared" si="0"/>
        <v xml:space="preserve">Young </v>
      </c>
      <c r="D11" s="5" t="s">
        <v>9</v>
      </c>
      <c r="E11" s="3">
        <f t="shared" si="1"/>
        <v>0</v>
      </c>
      <c r="F11" s="5" t="s">
        <v>10</v>
      </c>
      <c r="G11" s="5">
        <v>1</v>
      </c>
      <c r="H11" s="6">
        <v>59900</v>
      </c>
      <c r="I11" s="5">
        <v>4</v>
      </c>
      <c r="J11" s="8" t="str">
        <f t="shared" si="2"/>
        <v>Agree</v>
      </c>
      <c r="K11" s="10" t="s">
        <v>9</v>
      </c>
      <c r="L11" s="11">
        <v>0</v>
      </c>
    </row>
    <row r="12" spans="1:12" ht="15" thickBot="1" x14ac:dyDescent="0.35">
      <c r="A12" s="7">
        <v>11</v>
      </c>
      <c r="B12" s="3">
        <v>57</v>
      </c>
      <c r="C12" s="3" t="str">
        <f t="shared" si="0"/>
        <v>Middle-Aged</v>
      </c>
      <c r="D12" s="3" t="s">
        <v>7</v>
      </c>
      <c r="E12" s="3">
        <f t="shared" si="1"/>
        <v>1</v>
      </c>
      <c r="F12" s="3" t="s">
        <v>14</v>
      </c>
      <c r="G12" s="3">
        <v>1</v>
      </c>
      <c r="H12" s="4">
        <v>48100</v>
      </c>
      <c r="I12" s="3">
        <v>4</v>
      </c>
      <c r="J12" s="8" t="str">
        <f t="shared" si="2"/>
        <v>Agree</v>
      </c>
      <c r="K12" s="12" t="s">
        <v>7</v>
      </c>
      <c r="L12" s="13">
        <v>1</v>
      </c>
    </row>
    <row r="13" spans="1:12" x14ac:dyDescent="0.3">
      <c r="A13" s="9">
        <v>12</v>
      </c>
      <c r="B13" s="5">
        <v>38</v>
      </c>
      <c r="C13" s="3" t="str">
        <f t="shared" si="0"/>
        <v>Middle-Aged</v>
      </c>
      <c r="D13" s="5" t="s">
        <v>9</v>
      </c>
      <c r="E13" s="3">
        <f t="shared" si="1"/>
        <v>0</v>
      </c>
      <c r="F13" s="5" t="s">
        <v>15</v>
      </c>
      <c r="G13" s="5">
        <v>0</v>
      </c>
      <c r="H13" s="6">
        <v>58100</v>
      </c>
      <c r="I13" s="5">
        <v>3</v>
      </c>
      <c r="J13" s="8" t="str">
        <f t="shared" si="2"/>
        <v>Neutral</v>
      </c>
    </row>
    <row r="14" spans="1:12" ht="15" thickBot="1" x14ac:dyDescent="0.35">
      <c r="A14" s="7">
        <v>13</v>
      </c>
      <c r="B14" s="3">
        <v>37</v>
      </c>
      <c r="C14" s="3" t="str">
        <f t="shared" si="0"/>
        <v>Middle-Aged</v>
      </c>
      <c r="D14" s="3" t="s">
        <v>9</v>
      </c>
      <c r="E14" s="3">
        <f t="shared" si="1"/>
        <v>0</v>
      </c>
      <c r="F14" s="3" t="s">
        <v>16</v>
      </c>
      <c r="G14" s="3">
        <v>2</v>
      </c>
      <c r="H14" s="4">
        <v>56000</v>
      </c>
      <c r="I14" s="3">
        <v>1</v>
      </c>
      <c r="J14" s="8" t="str">
        <f t="shared" si="2"/>
        <v>Strongly Disagree</v>
      </c>
      <c r="K14" s="2" t="s">
        <v>19</v>
      </c>
    </row>
    <row r="15" spans="1:12" x14ac:dyDescent="0.3">
      <c r="A15" s="9">
        <v>14</v>
      </c>
      <c r="B15" s="5">
        <v>42</v>
      </c>
      <c r="C15" s="3" t="str">
        <f t="shared" si="0"/>
        <v>Middle-Aged</v>
      </c>
      <c r="D15" s="5" t="s">
        <v>9</v>
      </c>
      <c r="E15" s="3">
        <f t="shared" si="1"/>
        <v>0</v>
      </c>
      <c r="F15" s="5" t="s">
        <v>15</v>
      </c>
      <c r="G15" s="5">
        <v>2</v>
      </c>
      <c r="H15" s="6">
        <v>53400</v>
      </c>
      <c r="I15" s="5">
        <v>1</v>
      </c>
      <c r="J15" s="8" t="str">
        <f t="shared" si="2"/>
        <v>Strongly Disagree</v>
      </c>
      <c r="K15" s="10">
        <v>0</v>
      </c>
      <c r="L15" s="11" t="s">
        <v>20</v>
      </c>
    </row>
    <row r="16" spans="1:12" x14ac:dyDescent="0.3">
      <c r="A16" s="7">
        <v>15</v>
      </c>
      <c r="B16" s="3">
        <v>38</v>
      </c>
      <c r="C16" s="3" t="str">
        <f t="shared" si="0"/>
        <v>Middle-Aged</v>
      </c>
      <c r="D16" s="3" t="s">
        <v>9</v>
      </c>
      <c r="E16" s="3">
        <f t="shared" si="1"/>
        <v>0</v>
      </c>
      <c r="F16" s="3" t="s">
        <v>14</v>
      </c>
      <c r="G16" s="3">
        <v>2</v>
      </c>
      <c r="H16" s="4">
        <v>39000</v>
      </c>
      <c r="I16" s="3">
        <v>2</v>
      </c>
      <c r="J16" s="8" t="str">
        <f t="shared" si="2"/>
        <v>Disagree</v>
      </c>
      <c r="K16" s="14">
        <v>35</v>
      </c>
      <c r="L16" s="15" t="s">
        <v>21</v>
      </c>
    </row>
    <row r="17" spans="1:12" ht="15" thickBot="1" x14ac:dyDescent="0.35">
      <c r="A17" s="9">
        <v>16</v>
      </c>
      <c r="B17" s="5">
        <v>48</v>
      </c>
      <c r="C17" s="3" t="str">
        <f t="shared" si="0"/>
        <v>Middle-Aged</v>
      </c>
      <c r="D17" s="5" t="s">
        <v>7</v>
      </c>
      <c r="E17" s="3">
        <f t="shared" si="1"/>
        <v>1</v>
      </c>
      <c r="F17" s="5" t="s">
        <v>17</v>
      </c>
      <c r="G17" s="5">
        <v>1</v>
      </c>
      <c r="H17" s="6">
        <v>61500</v>
      </c>
      <c r="I17" s="5">
        <v>2</v>
      </c>
      <c r="J17" s="8" t="str">
        <f t="shared" si="2"/>
        <v>Disagree</v>
      </c>
      <c r="K17" s="12">
        <v>60</v>
      </c>
      <c r="L17" s="13" t="s">
        <v>22</v>
      </c>
    </row>
    <row r="18" spans="1:12" x14ac:dyDescent="0.3">
      <c r="A18" s="7">
        <v>17</v>
      </c>
      <c r="B18" s="3">
        <v>40</v>
      </c>
      <c r="C18" s="3" t="str">
        <f t="shared" si="0"/>
        <v>Middle-Aged</v>
      </c>
      <c r="D18" s="3" t="s">
        <v>7</v>
      </c>
      <c r="E18" s="3">
        <f t="shared" si="1"/>
        <v>1</v>
      </c>
      <c r="F18" s="3" t="s">
        <v>11</v>
      </c>
      <c r="G18" s="3">
        <v>0</v>
      </c>
      <c r="H18" s="4">
        <v>37700</v>
      </c>
      <c r="I18" s="3">
        <v>1</v>
      </c>
      <c r="J18" s="8" t="str">
        <f t="shared" si="2"/>
        <v>Strongly Disagree</v>
      </c>
    </row>
    <row r="19" spans="1:12" ht="15" thickBot="1" x14ac:dyDescent="0.35">
      <c r="A19" s="9">
        <v>18</v>
      </c>
      <c r="B19" s="5">
        <v>57</v>
      </c>
      <c r="C19" s="3" t="str">
        <f t="shared" si="0"/>
        <v>Middle-Aged</v>
      </c>
      <c r="D19" s="5" t="s">
        <v>9</v>
      </c>
      <c r="E19" s="3">
        <f t="shared" si="1"/>
        <v>0</v>
      </c>
      <c r="F19" s="5" t="s">
        <v>17</v>
      </c>
      <c r="G19" s="5">
        <v>2</v>
      </c>
      <c r="H19" s="6">
        <v>36700</v>
      </c>
      <c r="I19" s="5">
        <v>4</v>
      </c>
      <c r="J19" s="8" t="str">
        <f t="shared" si="2"/>
        <v>Agree</v>
      </c>
      <c r="K19" s="2" t="s">
        <v>23</v>
      </c>
    </row>
    <row r="20" spans="1:12" x14ac:dyDescent="0.3">
      <c r="A20" s="7">
        <v>19</v>
      </c>
      <c r="B20" s="3">
        <v>44</v>
      </c>
      <c r="C20" s="3" t="str">
        <f t="shared" si="0"/>
        <v>Middle-Aged</v>
      </c>
      <c r="D20" s="3" t="s">
        <v>7</v>
      </c>
      <c r="E20" s="3">
        <f t="shared" si="1"/>
        <v>1</v>
      </c>
      <c r="F20" s="3" t="s">
        <v>12</v>
      </c>
      <c r="G20" s="3">
        <v>2</v>
      </c>
      <c r="H20" s="4">
        <v>45200</v>
      </c>
      <c r="I20" s="3">
        <v>3</v>
      </c>
      <c r="J20" s="8" t="str">
        <f t="shared" si="2"/>
        <v>Neutral</v>
      </c>
      <c r="K20" s="10">
        <v>1</v>
      </c>
      <c r="L20" s="11" t="s">
        <v>31</v>
      </c>
    </row>
    <row r="21" spans="1:12" x14ac:dyDescent="0.3">
      <c r="A21" s="9">
        <v>20</v>
      </c>
      <c r="B21" s="5">
        <v>40</v>
      </c>
      <c r="C21" s="3" t="str">
        <f t="shared" si="0"/>
        <v>Middle-Aged</v>
      </c>
      <c r="D21" s="5" t="s">
        <v>7</v>
      </c>
      <c r="E21" s="3">
        <f t="shared" si="1"/>
        <v>1</v>
      </c>
      <c r="F21" s="5" t="s">
        <v>17</v>
      </c>
      <c r="G21" s="5">
        <v>0</v>
      </c>
      <c r="H21" s="6">
        <v>59000</v>
      </c>
      <c r="I21" s="5">
        <v>4</v>
      </c>
      <c r="J21" s="8" t="str">
        <f t="shared" si="2"/>
        <v>Agree</v>
      </c>
      <c r="K21" s="14">
        <v>2</v>
      </c>
      <c r="L21" s="15" t="s">
        <v>24</v>
      </c>
    </row>
    <row r="22" spans="1:12" x14ac:dyDescent="0.3">
      <c r="A22" s="7">
        <v>21</v>
      </c>
      <c r="B22" s="3">
        <v>21</v>
      </c>
      <c r="C22" s="3" t="str">
        <f t="shared" si="0"/>
        <v xml:space="preserve">Young </v>
      </c>
      <c r="D22" s="3" t="s">
        <v>9</v>
      </c>
      <c r="E22" s="3">
        <f t="shared" si="1"/>
        <v>0</v>
      </c>
      <c r="F22" s="3" t="s">
        <v>8</v>
      </c>
      <c r="G22" s="3">
        <v>2</v>
      </c>
      <c r="H22" s="4">
        <v>54300</v>
      </c>
      <c r="I22" s="3">
        <v>2</v>
      </c>
      <c r="J22" s="8" t="str">
        <f t="shared" si="2"/>
        <v>Disagree</v>
      </c>
      <c r="K22" s="14">
        <v>3</v>
      </c>
      <c r="L22" s="15" t="s">
        <v>25</v>
      </c>
    </row>
    <row r="23" spans="1:12" x14ac:dyDescent="0.3">
      <c r="A23" s="9">
        <v>22</v>
      </c>
      <c r="B23" s="5">
        <v>49</v>
      </c>
      <c r="C23" s="3" t="str">
        <f t="shared" si="0"/>
        <v>Middle-Aged</v>
      </c>
      <c r="D23" s="5" t="s">
        <v>7</v>
      </c>
      <c r="E23" s="3">
        <f t="shared" si="1"/>
        <v>1</v>
      </c>
      <c r="F23" s="5" t="s">
        <v>14</v>
      </c>
      <c r="G23" s="5">
        <v>1</v>
      </c>
      <c r="H23" s="6">
        <v>62100</v>
      </c>
      <c r="I23" s="5">
        <v>4</v>
      </c>
      <c r="J23" s="8" t="str">
        <f t="shared" si="2"/>
        <v>Agree</v>
      </c>
      <c r="K23" s="14">
        <v>4</v>
      </c>
      <c r="L23" s="15" t="s">
        <v>26</v>
      </c>
    </row>
    <row r="24" spans="1:12" ht="15" thickBot="1" x14ac:dyDescent="0.35">
      <c r="A24" s="7">
        <v>23</v>
      </c>
      <c r="B24" s="3">
        <v>34</v>
      </c>
      <c r="C24" s="3" t="str">
        <f t="shared" si="0"/>
        <v xml:space="preserve">Young </v>
      </c>
      <c r="D24" s="3" t="s">
        <v>7</v>
      </c>
      <c r="E24" s="3">
        <f t="shared" si="1"/>
        <v>1</v>
      </c>
      <c r="F24" s="3" t="s">
        <v>14</v>
      </c>
      <c r="G24" s="3">
        <v>0</v>
      </c>
      <c r="H24" s="4">
        <v>78000</v>
      </c>
      <c r="I24" s="3">
        <v>3</v>
      </c>
      <c r="J24" s="8" t="str">
        <f t="shared" si="2"/>
        <v>Neutral</v>
      </c>
      <c r="K24" s="12">
        <v>5</v>
      </c>
      <c r="L24" s="13" t="s">
        <v>32</v>
      </c>
    </row>
    <row r="25" spans="1:12" x14ac:dyDescent="0.3">
      <c r="A25" s="9">
        <v>24</v>
      </c>
      <c r="B25" s="5">
        <v>49</v>
      </c>
      <c r="C25" s="3" t="str">
        <f t="shared" si="0"/>
        <v>Middle-Aged</v>
      </c>
      <c r="D25" s="5" t="s">
        <v>7</v>
      </c>
      <c r="E25" s="3">
        <f t="shared" si="1"/>
        <v>1</v>
      </c>
      <c r="F25" s="5" t="s">
        <v>18</v>
      </c>
      <c r="G25" s="5">
        <v>0</v>
      </c>
      <c r="H25" s="6">
        <v>43200</v>
      </c>
      <c r="I25" s="5">
        <v>5</v>
      </c>
      <c r="J25" s="8" t="str">
        <f t="shared" si="2"/>
        <v>Strongly Agree</v>
      </c>
    </row>
    <row r="26" spans="1:12" x14ac:dyDescent="0.3">
      <c r="A26" s="7">
        <v>25</v>
      </c>
      <c r="B26" s="3">
        <v>40</v>
      </c>
      <c r="C26" s="3" t="str">
        <f t="shared" si="0"/>
        <v>Middle-Aged</v>
      </c>
      <c r="D26" s="3" t="s">
        <v>7</v>
      </c>
      <c r="E26" s="3">
        <f t="shared" si="1"/>
        <v>1</v>
      </c>
      <c r="F26" s="3" t="s">
        <v>18</v>
      </c>
      <c r="G26" s="3">
        <v>1</v>
      </c>
      <c r="H26" s="4">
        <v>44500</v>
      </c>
      <c r="I26" s="3">
        <v>3</v>
      </c>
      <c r="J26" s="8" t="str">
        <f t="shared" si="2"/>
        <v>Neutral</v>
      </c>
    </row>
    <row r="27" spans="1:12" x14ac:dyDescent="0.3">
      <c r="A27" s="9">
        <v>26</v>
      </c>
      <c r="B27" s="5">
        <v>38</v>
      </c>
      <c r="C27" s="3" t="str">
        <f t="shared" si="0"/>
        <v>Middle-Aged</v>
      </c>
      <c r="D27" s="5" t="s">
        <v>7</v>
      </c>
      <c r="E27" s="3">
        <f t="shared" si="1"/>
        <v>1</v>
      </c>
      <c r="F27" s="5" t="s">
        <v>11</v>
      </c>
      <c r="G27" s="5">
        <v>1</v>
      </c>
      <c r="H27" s="6">
        <v>43300</v>
      </c>
      <c r="I27" s="5">
        <v>1</v>
      </c>
      <c r="J27" s="8" t="str">
        <f t="shared" si="2"/>
        <v>Strongly Disagree</v>
      </c>
    </row>
    <row r="28" spans="1:12" x14ac:dyDescent="0.3">
      <c r="A28" s="7">
        <v>27</v>
      </c>
      <c r="B28" s="3">
        <v>27</v>
      </c>
      <c r="C28" s="3" t="str">
        <f t="shared" si="0"/>
        <v xml:space="preserve">Young </v>
      </c>
      <c r="D28" s="3" t="s">
        <v>7</v>
      </c>
      <c r="E28" s="3">
        <f t="shared" si="1"/>
        <v>1</v>
      </c>
      <c r="F28" s="3" t="s">
        <v>16</v>
      </c>
      <c r="G28" s="3">
        <v>3</v>
      </c>
      <c r="H28" s="4">
        <v>45400</v>
      </c>
      <c r="I28" s="3">
        <v>2</v>
      </c>
      <c r="J28" s="8" t="str">
        <f t="shared" si="2"/>
        <v>Disagree</v>
      </c>
    </row>
    <row r="29" spans="1:12" x14ac:dyDescent="0.3">
      <c r="A29" s="9">
        <v>28</v>
      </c>
      <c r="B29" s="5">
        <v>63</v>
      </c>
      <c r="C29" s="3" t="str">
        <f t="shared" si="0"/>
        <v>Elderly</v>
      </c>
      <c r="D29" s="5" t="s">
        <v>7</v>
      </c>
      <c r="E29" s="3">
        <f t="shared" si="1"/>
        <v>1</v>
      </c>
      <c r="F29" s="5" t="s">
        <v>17</v>
      </c>
      <c r="G29" s="5">
        <v>2</v>
      </c>
      <c r="H29" s="6">
        <v>53900</v>
      </c>
      <c r="I29" s="5">
        <v>1</v>
      </c>
      <c r="J29" s="8" t="str">
        <f t="shared" si="2"/>
        <v>Strongly Disagree</v>
      </c>
    </row>
    <row r="30" spans="1:12" x14ac:dyDescent="0.3">
      <c r="A30" s="7">
        <v>29</v>
      </c>
      <c r="B30" s="3">
        <v>52</v>
      </c>
      <c r="C30" s="3" t="str">
        <f t="shared" si="0"/>
        <v>Middle-Aged</v>
      </c>
      <c r="D30" s="3" t="s">
        <v>7</v>
      </c>
      <c r="E30" s="3">
        <f t="shared" si="1"/>
        <v>1</v>
      </c>
      <c r="F30" s="3" t="s">
        <v>13</v>
      </c>
      <c r="G30" s="3">
        <v>1</v>
      </c>
      <c r="H30" s="4">
        <v>44100</v>
      </c>
      <c r="I30" s="3">
        <v>3</v>
      </c>
      <c r="J30" s="8" t="str">
        <f t="shared" si="2"/>
        <v>Neutral</v>
      </c>
    </row>
    <row r="31" spans="1:12" x14ac:dyDescent="0.3">
      <c r="A31" s="16">
        <v>30</v>
      </c>
      <c r="B31" s="17">
        <v>48</v>
      </c>
      <c r="C31" s="18" t="str">
        <f t="shared" si="0"/>
        <v>Middle-Aged</v>
      </c>
      <c r="D31" s="17" t="s">
        <v>9</v>
      </c>
      <c r="E31" s="18">
        <f t="shared" si="1"/>
        <v>0</v>
      </c>
      <c r="F31" s="17" t="s">
        <v>14</v>
      </c>
      <c r="G31" s="17">
        <v>2</v>
      </c>
      <c r="H31" s="19">
        <v>31000</v>
      </c>
      <c r="I31" s="17">
        <v>4</v>
      </c>
      <c r="J31" s="20" t="str">
        <f t="shared" si="2"/>
        <v>Agree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2.3</vt:lpstr>
      <vt:lpstr>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kr</dc:creator>
  <cp:lastModifiedBy>Shraddha kr</cp:lastModifiedBy>
  <dcterms:created xsi:type="dcterms:W3CDTF">2025-09-26T04:21:25Z</dcterms:created>
  <dcterms:modified xsi:type="dcterms:W3CDTF">2025-11-26T12:01:34Z</dcterms:modified>
</cp:coreProperties>
</file>