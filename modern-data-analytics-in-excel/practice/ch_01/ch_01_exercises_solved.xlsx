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1\"/>
    </mc:Choice>
  </mc:AlternateContent>
  <xr:revisionPtr revIDLastSave="0" documentId="13_ncr:1_{3CD8963F-FFE4-40C4-BEC7-5362E8CA2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gu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346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F346" i="1"/>
</calcChain>
</file>

<file path=xl/sharedStrings.xml><?xml version="1.0" encoding="utf-8"?>
<sst xmlns="http://schemas.openxmlformats.org/spreadsheetml/2006/main" count="1030" uniqueCount="17">
  <si>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</si>
  <si>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</si>
  <si>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</si>
  <si>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</si>
  <si>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</si>
  <si>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</si>
  <si>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</si>
  <si>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</si>
  <si>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</si>
  <si>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</si>
  <si>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</si>
  <si>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Biscoe</t>
  </si>
  <si>
    <t>Dream</t>
  </si>
  <si>
    <t>Chinstrap</t>
  </si>
  <si>
    <t>Gentoo</t>
  </si>
  <si>
    <t>bill_ratio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</si>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</sst>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0</xdr:row>
      <xdr:rowOff>129540</xdr:rowOff>
    </xdr:from>
    <xdr:to>
      <xdr:col>11</xdr:col>
      <xdr:colOff>320040</xdr:colOff>
      <xdr:row>7</xdr:row>
      <xdr:rowOff>198120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AD0245-0EBE-4602-9F9A-1B4A720685C3}"/>
            </a:ext>
          </a:extLst>
        </xdr:cNvPr>
        <xdr:cNvSpPr/>
      </xdr:nvSpPr>
      <xdr:spPr>
        <a:xfrm>
          <a:off x="10226040" y="129540"/>
          <a:ext cx="3154680" cy="193548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 Ctrl + T -&gt; Table</a:t>
          </a:r>
        </a:p>
        <a:p>
          <a:pPr algn="l"/>
          <a:endParaRPr lang="en-US" sz="1100"/>
        </a:p>
        <a:p>
          <a:pPr algn="l"/>
          <a:r>
            <a:rPr lang="en-US" sz="1100"/>
            <a:t>= UPPER(penguins[#Headers])</a:t>
          </a:r>
        </a:p>
        <a:p>
          <a:pPr algn="l"/>
          <a:endParaRPr lang="en-US" sz="1100"/>
        </a:p>
        <a:p>
          <a:pPr algn="l"/>
          <a:r>
            <a:rPr lang="en-US" sz="1100"/>
            <a:t>=IFERROR([@[bill_length_mm]]/[@[bill_depth_mm]], "")</a:t>
          </a:r>
        </a:p>
        <a:p>
          <a:pPr algn="l"/>
          <a:endParaRPr lang="en-US" sz="1100"/>
        </a:p>
        <a:p>
          <a:pPr algn="l"/>
          <a:r>
            <a:rPr lang="en-US" sz="1100"/>
            <a:t>Last filled row -&gt; Ctrl+ Shift + down-arrow</a:t>
          </a:r>
        </a:p>
        <a:p>
          <a:pPr algn="l"/>
          <a:endParaRPr lang="en-US" sz="1100"/>
        </a:p>
        <a:p>
          <a:pPr algn="l"/>
          <a:r>
            <a:rPr lang="en-US" sz="1100"/>
            <a:t>First Filled row -&gt; Ctrl + Shift + up-arrow</a:t>
          </a: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7AE5F-31FF-47C2-BC5F-8BBF5A376AF0}" name="penguins" displayName="penguins" ref="A1:H346" totalsRowCount="1">
  <autoFilter ref="A1:H345" xr:uid="{0B17AE5F-31FF-47C2-BC5F-8BBF5A376AF0}"/>
  <tableColumns count="8">
    <tableColumn id="1" xr3:uid="{010627B8-CC5E-4F26-BBCE-7C4F7F9F2EA2}" name="species" totalsRowLabel="Total"/>
    <tableColumn id="2" xr3:uid="{5D784462-582C-4F38-AE8B-46F36634D598}" name="island"/>
    <tableColumn id="3" xr3:uid="{612BE8C4-1B15-4854-9CE6-6F25E41C8BFA}" name="bill_length_mm"/>
    <tableColumn id="4" xr3:uid="{7527F250-DE74-4A73-BA98-9FBA37E2DEFF}" name="bill_depth_mm"/>
    <tableColumn id="5" xr3:uid="{CBA192AC-048D-4736-9D28-DA1F1618FD96}" name="flipper_length_mm"/>
    <tableColumn id="6" xr3:uid="{1A888062-2DB3-4F72-BE2D-988FC9370A36}" name="body_mass_g" totalsRowFunction="average"/>
    <tableColumn id="7" xr3:uid="{AF674A7A-916A-4B2E-BD34-49DF673B4D0B}" name="sex"/>
    <tableColumn id="9" xr3:uid="{8F60DD38-9808-4A7A-BFBE-AD00DCB78EB6}" name="bill_ratio" totalsRowFunction="count" dataDxfId="0">
      <calculatedColumnFormula>IFERROR(penguins[[#This Row],[bill_length_mm]]/penguins[[#This Row],[bill_depth_mm]], 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workbookViewId="0">
      <selection activeCell="K9" sqref="K9"/>
    </sheetView>
  </sheetViews>
  <sheetFormatPr defaultRowHeight="21" x14ac:dyDescent="0.4"/>
  <cols>
    <col min="3" max="3" width="14.42578125" customWidth="1"/>
    <col min="4" max="4" width="14" customWidth="1"/>
    <col min="5" max="5" width="17.28515625" customWidth="1"/>
    <col min="6" max="6" width="12.71093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4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9</v>
      </c>
      <c r="H2">
        <f>IFERROR(penguins[[#This Row],[bill_length_mm]]/penguins[[#This Row],[bill_depth_mm]], "")</f>
        <v>2.0909090909090913</v>
      </c>
    </row>
    <row r="3" spans="1:8" x14ac:dyDescent="0.4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10</v>
      </c>
      <c r="H3">
        <f>IFERROR(penguins[[#This Row],[bill_length_mm]]/penguins[[#This Row],[bill_depth_mm]], "")</f>
        <v>2.2701149425287359</v>
      </c>
    </row>
    <row r="4" spans="1:8" x14ac:dyDescent="0.4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10</v>
      </c>
      <c r="H4">
        <f>IFERROR(penguins[[#This Row],[bill_length_mm]]/penguins[[#This Row],[bill_depth_mm]], "")</f>
        <v>2.2388888888888889</v>
      </c>
    </row>
    <row r="5" spans="1:8" x14ac:dyDescent="0.4">
      <c r="A5" t="s">
        <v>7</v>
      </c>
      <c r="B5" t="s">
        <v>8</v>
      </c>
      <c r="H5" t="str">
        <f>IFERROR(penguins[[#This Row],[bill_length_mm]]/penguins[[#This Row],[bill_depth_mm]], "")</f>
        <v/>
      </c>
    </row>
    <row r="6" spans="1:8" x14ac:dyDescent="0.4">
      <c r="A6" t="s">
        <v>7</v>
      </c>
      <c r="B6" t="s">
        <v>8</v>
      </c>
      <c r="C6">
        <v>36.700000000000003</v>
      </c>
      <c r="D6">
        <v>19.3</v>
      </c>
      <c r="E6">
        <v>193</v>
      </c>
      <c r="F6">
        <v>3450</v>
      </c>
      <c r="G6" t="s">
        <v>10</v>
      </c>
      <c r="H6">
        <f>IFERROR(penguins[[#This Row],[bill_length_mm]]/penguins[[#This Row],[bill_depth_mm]], "")</f>
        <v>1.9015544041450778</v>
      </c>
    </row>
    <row r="7" spans="1:8" x14ac:dyDescent="0.4">
      <c r="A7" t="s">
        <v>7</v>
      </c>
      <c r="B7" t="s">
        <v>8</v>
      </c>
      <c r="C7">
        <v>39.299999999999997</v>
      </c>
      <c r="D7">
        <v>20.6</v>
      </c>
      <c r="E7">
        <v>190</v>
      </c>
      <c r="F7">
        <v>3650</v>
      </c>
      <c r="G7" t="s">
        <v>9</v>
      </c>
      <c r="H7">
        <f>IFERROR(penguins[[#This Row],[bill_length_mm]]/penguins[[#This Row],[bill_depth_mm]], "")</f>
        <v>1.907766990291262</v>
      </c>
    </row>
    <row r="8" spans="1:8" x14ac:dyDescent="0.4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10</v>
      </c>
      <c r="H8">
        <f>IFERROR(penguins[[#This Row],[bill_length_mm]]/penguins[[#This Row],[bill_depth_mm]], "")</f>
        <v>2.185393258426966</v>
      </c>
    </row>
    <row r="9" spans="1:8" x14ac:dyDescent="0.4">
      <c r="A9" t="s">
        <v>7</v>
      </c>
      <c r="B9" t="s">
        <v>8</v>
      </c>
      <c r="C9">
        <v>39.200000000000003</v>
      </c>
      <c r="D9">
        <v>19.600000000000001</v>
      </c>
      <c r="E9">
        <v>195</v>
      </c>
      <c r="F9">
        <v>4675</v>
      </c>
      <c r="G9" t="s">
        <v>9</v>
      </c>
      <c r="H9">
        <f>IFERROR(penguins[[#This Row],[bill_length_mm]]/penguins[[#This Row],[bill_depth_mm]], "")</f>
        <v>2</v>
      </c>
    </row>
    <row r="10" spans="1:8" x14ac:dyDescent="0.4">
      <c r="A10" t="s">
        <v>7</v>
      </c>
      <c r="B10" t="s">
        <v>8</v>
      </c>
      <c r="C10">
        <v>34.1</v>
      </c>
      <c r="D10">
        <v>18.100000000000001</v>
      </c>
      <c r="E10">
        <v>193</v>
      </c>
      <c r="F10">
        <v>3475</v>
      </c>
      <c r="H10">
        <f>IFERROR(penguins[[#This Row],[bill_length_mm]]/penguins[[#This Row],[bill_depth_mm]], "")</f>
        <v>1.8839779005524862</v>
      </c>
    </row>
    <row r="11" spans="1:8" x14ac:dyDescent="0.4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H11">
        <f>IFERROR(penguins[[#This Row],[bill_length_mm]]/penguins[[#This Row],[bill_depth_mm]], "")</f>
        <v>2.0792079207920793</v>
      </c>
    </row>
    <row r="12" spans="1:8" x14ac:dyDescent="0.4">
      <c r="A12" t="s">
        <v>7</v>
      </c>
      <c r="B12" t="s">
        <v>8</v>
      </c>
      <c r="C12">
        <v>37.799999999999997</v>
      </c>
      <c r="D12">
        <v>17.100000000000001</v>
      </c>
      <c r="E12">
        <v>186</v>
      </c>
      <c r="F12">
        <v>3300</v>
      </c>
      <c r="H12">
        <f>IFERROR(penguins[[#This Row],[bill_length_mm]]/penguins[[#This Row],[bill_depth_mm]], "")</f>
        <v>2.2105263157894735</v>
      </c>
    </row>
    <row r="13" spans="1:8" x14ac:dyDescent="0.4">
      <c r="A13" t="s">
        <v>7</v>
      </c>
      <c r="B13" t="s">
        <v>8</v>
      </c>
      <c r="C13">
        <v>37.799999999999997</v>
      </c>
      <c r="D13">
        <v>17.3</v>
      </c>
      <c r="E13">
        <v>180</v>
      </c>
      <c r="F13">
        <v>3700</v>
      </c>
      <c r="H13">
        <f>IFERROR(penguins[[#This Row],[bill_length_mm]]/penguins[[#This Row],[bill_depth_mm]], "")</f>
        <v>2.1849710982658959</v>
      </c>
    </row>
    <row r="14" spans="1:8" x14ac:dyDescent="0.4">
      <c r="A14" t="s">
        <v>7</v>
      </c>
      <c r="B14" t="s">
        <v>8</v>
      </c>
      <c r="C14">
        <v>41.1</v>
      </c>
      <c r="D14">
        <v>17.600000000000001</v>
      </c>
      <c r="E14">
        <v>182</v>
      </c>
      <c r="F14">
        <v>3200</v>
      </c>
      <c r="G14" t="s">
        <v>10</v>
      </c>
      <c r="H14">
        <f>IFERROR(penguins[[#This Row],[bill_length_mm]]/penguins[[#This Row],[bill_depth_mm]], "")</f>
        <v>2.3352272727272725</v>
      </c>
    </row>
    <row r="15" spans="1:8" x14ac:dyDescent="0.4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9</v>
      </c>
      <c r="H15">
        <f>IFERROR(penguins[[#This Row],[bill_length_mm]]/penguins[[#This Row],[bill_depth_mm]], "")</f>
        <v>1.8207547169811322</v>
      </c>
    </row>
    <row r="16" spans="1:8" x14ac:dyDescent="0.4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9</v>
      </c>
      <c r="H16">
        <f>IFERROR(penguins[[#This Row],[bill_length_mm]]/penguins[[#This Row],[bill_depth_mm]], "")</f>
        <v>1.6398104265402844</v>
      </c>
    </row>
    <row r="17" spans="1:8" x14ac:dyDescent="0.4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10</v>
      </c>
      <c r="H17">
        <f>IFERROR(penguins[[#This Row],[bill_length_mm]]/penguins[[#This Row],[bill_depth_mm]], "")</f>
        <v>2.0561797752808988</v>
      </c>
    </row>
    <row r="18" spans="1:8" x14ac:dyDescent="0.4">
      <c r="A18" t="s">
        <v>7</v>
      </c>
      <c r="B18" t="s">
        <v>8</v>
      </c>
      <c r="C18">
        <v>38.700000000000003</v>
      </c>
      <c r="D18">
        <v>19</v>
      </c>
      <c r="E18">
        <v>195</v>
      </c>
      <c r="F18">
        <v>3450</v>
      </c>
      <c r="G18" t="s">
        <v>10</v>
      </c>
      <c r="H18">
        <f>IFERROR(penguins[[#This Row],[bill_length_mm]]/penguins[[#This Row],[bill_depth_mm]], "")</f>
        <v>2.0368421052631582</v>
      </c>
    </row>
    <row r="19" spans="1:8" x14ac:dyDescent="0.4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9</v>
      </c>
      <c r="H19">
        <f>IFERROR(penguins[[#This Row],[bill_length_mm]]/penguins[[#This Row],[bill_depth_mm]], "")</f>
        <v>2.0531400966183577</v>
      </c>
    </row>
    <row r="20" spans="1:8" x14ac:dyDescent="0.4">
      <c r="A20" t="s">
        <v>7</v>
      </c>
      <c r="B20" t="s">
        <v>8</v>
      </c>
      <c r="C20">
        <v>34.4</v>
      </c>
      <c r="D20">
        <v>18.399999999999999</v>
      </c>
      <c r="E20">
        <v>184</v>
      </c>
      <c r="F20">
        <v>3325</v>
      </c>
      <c r="G20" t="s">
        <v>10</v>
      </c>
      <c r="H20">
        <f>IFERROR(penguins[[#This Row],[bill_length_mm]]/penguins[[#This Row],[bill_depth_mm]], "")</f>
        <v>1.8695652173913044</v>
      </c>
    </row>
    <row r="21" spans="1:8" x14ac:dyDescent="0.4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9</v>
      </c>
      <c r="H21">
        <f>IFERROR(penguins[[#This Row],[bill_length_mm]]/penguins[[#This Row],[bill_depth_mm]], "")</f>
        <v>2.13953488372093</v>
      </c>
    </row>
    <row r="22" spans="1:8" x14ac:dyDescent="0.4">
      <c r="A22" t="s">
        <v>7</v>
      </c>
      <c r="B22" t="s">
        <v>11</v>
      </c>
      <c r="C22">
        <v>37.799999999999997</v>
      </c>
      <c r="D22">
        <v>18.3</v>
      </c>
      <c r="E22">
        <v>174</v>
      </c>
      <c r="F22">
        <v>3400</v>
      </c>
      <c r="G22" t="s">
        <v>10</v>
      </c>
      <c r="H22">
        <f>IFERROR(penguins[[#This Row],[bill_length_mm]]/penguins[[#This Row],[bill_depth_mm]], "")</f>
        <v>2.0655737704918029</v>
      </c>
    </row>
    <row r="23" spans="1:8" x14ac:dyDescent="0.4">
      <c r="A23" t="s">
        <v>7</v>
      </c>
      <c r="B23" t="s">
        <v>11</v>
      </c>
      <c r="C23">
        <v>37.700000000000003</v>
      </c>
      <c r="D23">
        <v>18.7</v>
      </c>
      <c r="E23">
        <v>180</v>
      </c>
      <c r="F23">
        <v>3600</v>
      </c>
      <c r="G23" t="s">
        <v>9</v>
      </c>
      <c r="H23">
        <f>IFERROR(penguins[[#This Row],[bill_length_mm]]/penguins[[#This Row],[bill_depth_mm]], "")</f>
        <v>2.0160427807486632</v>
      </c>
    </row>
    <row r="24" spans="1:8" x14ac:dyDescent="0.4">
      <c r="A24" t="s">
        <v>7</v>
      </c>
      <c r="B24" t="s">
        <v>11</v>
      </c>
      <c r="C24">
        <v>35.9</v>
      </c>
      <c r="D24">
        <v>19.2</v>
      </c>
      <c r="E24">
        <v>189</v>
      </c>
      <c r="F24">
        <v>3800</v>
      </c>
      <c r="G24" t="s">
        <v>10</v>
      </c>
      <c r="H24">
        <f>IFERROR(penguins[[#This Row],[bill_length_mm]]/penguins[[#This Row],[bill_depth_mm]], "")</f>
        <v>1.8697916666666667</v>
      </c>
    </row>
    <row r="25" spans="1:8" x14ac:dyDescent="0.4">
      <c r="A25" t="s">
        <v>7</v>
      </c>
      <c r="B25" t="s">
        <v>11</v>
      </c>
      <c r="C25">
        <v>38.200000000000003</v>
      </c>
      <c r="D25">
        <v>18.100000000000001</v>
      </c>
      <c r="E25">
        <v>185</v>
      </c>
      <c r="F25">
        <v>3950</v>
      </c>
      <c r="G25" t="s">
        <v>9</v>
      </c>
      <c r="H25">
        <f>IFERROR(penguins[[#This Row],[bill_length_mm]]/penguins[[#This Row],[bill_depth_mm]], "")</f>
        <v>2.1104972375690609</v>
      </c>
    </row>
    <row r="26" spans="1:8" x14ac:dyDescent="0.4">
      <c r="A26" t="s">
        <v>7</v>
      </c>
      <c r="B26" t="s">
        <v>11</v>
      </c>
      <c r="C26">
        <v>38.799999999999997</v>
      </c>
      <c r="D26">
        <v>17.2</v>
      </c>
      <c r="E26">
        <v>180</v>
      </c>
      <c r="F26">
        <v>3800</v>
      </c>
      <c r="G26" t="s">
        <v>9</v>
      </c>
      <c r="H26">
        <f>IFERROR(penguins[[#This Row],[bill_length_mm]]/penguins[[#This Row],[bill_depth_mm]], "")</f>
        <v>2.2558139534883721</v>
      </c>
    </row>
    <row r="27" spans="1:8" x14ac:dyDescent="0.4">
      <c r="A27" t="s">
        <v>7</v>
      </c>
      <c r="B27" t="s">
        <v>11</v>
      </c>
      <c r="C27">
        <v>35.299999999999997</v>
      </c>
      <c r="D27">
        <v>18.899999999999999</v>
      </c>
      <c r="E27">
        <v>187</v>
      </c>
      <c r="F27">
        <v>3800</v>
      </c>
      <c r="G27" t="s">
        <v>10</v>
      </c>
      <c r="H27">
        <f>IFERROR(penguins[[#This Row],[bill_length_mm]]/penguins[[#This Row],[bill_depth_mm]], "")</f>
        <v>1.8677248677248677</v>
      </c>
    </row>
    <row r="28" spans="1:8" x14ac:dyDescent="0.4">
      <c r="A28" t="s">
        <v>7</v>
      </c>
      <c r="B28" t="s">
        <v>11</v>
      </c>
      <c r="C28">
        <v>40.6</v>
      </c>
      <c r="D28">
        <v>18.600000000000001</v>
      </c>
      <c r="E28">
        <v>183</v>
      </c>
      <c r="F28">
        <v>3550</v>
      </c>
      <c r="G28" t="s">
        <v>9</v>
      </c>
      <c r="H28">
        <f>IFERROR(penguins[[#This Row],[bill_length_mm]]/penguins[[#This Row],[bill_depth_mm]], "")</f>
        <v>2.182795698924731</v>
      </c>
    </row>
    <row r="29" spans="1:8" x14ac:dyDescent="0.4">
      <c r="A29" t="s">
        <v>7</v>
      </c>
      <c r="B29" t="s">
        <v>11</v>
      </c>
      <c r="C29">
        <v>40.5</v>
      </c>
      <c r="D29">
        <v>17.899999999999999</v>
      </c>
      <c r="E29">
        <v>187</v>
      </c>
      <c r="F29">
        <v>3200</v>
      </c>
      <c r="G29" t="s">
        <v>10</v>
      </c>
      <c r="H29">
        <f>IFERROR(penguins[[#This Row],[bill_length_mm]]/penguins[[#This Row],[bill_depth_mm]], "")</f>
        <v>2.2625698324022347</v>
      </c>
    </row>
    <row r="30" spans="1:8" x14ac:dyDescent="0.4">
      <c r="A30" t="s">
        <v>7</v>
      </c>
      <c r="B30" t="s">
        <v>11</v>
      </c>
      <c r="C30">
        <v>37.9</v>
      </c>
      <c r="D30">
        <v>18.600000000000001</v>
      </c>
      <c r="E30">
        <v>172</v>
      </c>
      <c r="F30">
        <v>3150</v>
      </c>
      <c r="G30" t="s">
        <v>10</v>
      </c>
      <c r="H30">
        <f>IFERROR(penguins[[#This Row],[bill_length_mm]]/penguins[[#This Row],[bill_depth_mm]], "")</f>
        <v>2.0376344086021505</v>
      </c>
    </row>
    <row r="31" spans="1:8" x14ac:dyDescent="0.4">
      <c r="A31" t="s">
        <v>7</v>
      </c>
      <c r="B31" t="s">
        <v>11</v>
      </c>
      <c r="C31">
        <v>40.5</v>
      </c>
      <c r="D31">
        <v>18.899999999999999</v>
      </c>
      <c r="E31">
        <v>180</v>
      </c>
      <c r="F31">
        <v>3950</v>
      </c>
      <c r="G31" t="s">
        <v>9</v>
      </c>
      <c r="H31">
        <f>IFERROR(penguins[[#This Row],[bill_length_mm]]/penguins[[#This Row],[bill_depth_mm]], "")</f>
        <v>2.1428571428571432</v>
      </c>
    </row>
    <row r="32" spans="1:8" x14ac:dyDescent="0.4">
      <c r="A32" t="s">
        <v>7</v>
      </c>
      <c r="B32" t="s">
        <v>12</v>
      </c>
      <c r="C32">
        <v>39.5</v>
      </c>
      <c r="D32">
        <v>16.7</v>
      </c>
      <c r="E32">
        <v>178</v>
      </c>
      <c r="F32">
        <v>3250</v>
      </c>
      <c r="G32" t="s">
        <v>10</v>
      </c>
      <c r="H32">
        <f>IFERROR(penguins[[#This Row],[bill_length_mm]]/penguins[[#This Row],[bill_depth_mm]], "")</f>
        <v>2.3652694610778444</v>
      </c>
    </row>
    <row r="33" spans="1:8" x14ac:dyDescent="0.4">
      <c r="A33" t="s">
        <v>7</v>
      </c>
      <c r="B33" t="s">
        <v>12</v>
      </c>
      <c r="C33">
        <v>37.200000000000003</v>
      </c>
      <c r="D33">
        <v>18.100000000000001</v>
      </c>
      <c r="E33">
        <v>178</v>
      </c>
      <c r="F33">
        <v>3900</v>
      </c>
      <c r="G33" t="s">
        <v>9</v>
      </c>
      <c r="H33">
        <f>IFERROR(penguins[[#This Row],[bill_length_mm]]/penguins[[#This Row],[bill_depth_mm]], "")</f>
        <v>2.0552486187845305</v>
      </c>
    </row>
    <row r="34" spans="1:8" x14ac:dyDescent="0.4">
      <c r="A34" t="s">
        <v>7</v>
      </c>
      <c r="B34" t="s">
        <v>12</v>
      </c>
      <c r="C34">
        <v>39.5</v>
      </c>
      <c r="D34">
        <v>17.8</v>
      </c>
      <c r="E34">
        <v>188</v>
      </c>
      <c r="F34">
        <v>3300</v>
      </c>
      <c r="G34" t="s">
        <v>10</v>
      </c>
      <c r="H34">
        <f>IFERROR(penguins[[#This Row],[bill_length_mm]]/penguins[[#This Row],[bill_depth_mm]], "")</f>
        <v>2.2191011235955056</v>
      </c>
    </row>
    <row r="35" spans="1:8" x14ac:dyDescent="0.4">
      <c r="A35" t="s">
        <v>7</v>
      </c>
      <c r="B35" t="s">
        <v>12</v>
      </c>
      <c r="C35">
        <v>40.9</v>
      </c>
      <c r="D35">
        <v>18.899999999999999</v>
      </c>
      <c r="E35">
        <v>184</v>
      </c>
      <c r="F35">
        <v>3900</v>
      </c>
      <c r="G35" t="s">
        <v>9</v>
      </c>
      <c r="H35">
        <f>IFERROR(penguins[[#This Row],[bill_length_mm]]/penguins[[#This Row],[bill_depth_mm]], "")</f>
        <v>2.1640211640211642</v>
      </c>
    </row>
    <row r="36" spans="1:8" x14ac:dyDescent="0.4">
      <c r="A36" t="s">
        <v>7</v>
      </c>
      <c r="B36" t="s">
        <v>12</v>
      </c>
      <c r="C36">
        <v>36.4</v>
      </c>
      <c r="D36">
        <v>17</v>
      </c>
      <c r="E36">
        <v>195</v>
      </c>
      <c r="F36">
        <v>3325</v>
      </c>
      <c r="G36" t="s">
        <v>10</v>
      </c>
      <c r="H36">
        <f>IFERROR(penguins[[#This Row],[bill_length_mm]]/penguins[[#This Row],[bill_depth_mm]], "")</f>
        <v>2.1411764705882352</v>
      </c>
    </row>
    <row r="37" spans="1:8" x14ac:dyDescent="0.4">
      <c r="A37" t="s">
        <v>7</v>
      </c>
      <c r="B37" t="s">
        <v>12</v>
      </c>
      <c r="C37">
        <v>39.200000000000003</v>
      </c>
      <c r="D37">
        <v>21.1</v>
      </c>
      <c r="E37">
        <v>196</v>
      </c>
      <c r="F37">
        <v>4150</v>
      </c>
      <c r="G37" t="s">
        <v>9</v>
      </c>
      <c r="H37">
        <f>IFERROR(penguins[[#This Row],[bill_length_mm]]/penguins[[#This Row],[bill_depth_mm]], "")</f>
        <v>1.8578199052132702</v>
      </c>
    </row>
    <row r="38" spans="1:8" x14ac:dyDescent="0.4">
      <c r="A38" t="s">
        <v>7</v>
      </c>
      <c r="B38" t="s">
        <v>12</v>
      </c>
      <c r="C38">
        <v>38.799999999999997</v>
      </c>
      <c r="D38">
        <v>20</v>
      </c>
      <c r="E38">
        <v>190</v>
      </c>
      <c r="F38">
        <v>3950</v>
      </c>
      <c r="G38" t="s">
        <v>9</v>
      </c>
      <c r="H38">
        <f>IFERROR(penguins[[#This Row],[bill_length_mm]]/penguins[[#This Row],[bill_depth_mm]], "")</f>
        <v>1.94</v>
      </c>
    </row>
    <row r="39" spans="1:8" x14ac:dyDescent="0.4">
      <c r="A39" t="s">
        <v>7</v>
      </c>
      <c r="B39" t="s">
        <v>12</v>
      </c>
      <c r="C39">
        <v>42.2</v>
      </c>
      <c r="D39">
        <v>18.5</v>
      </c>
      <c r="E39">
        <v>180</v>
      </c>
      <c r="F39">
        <v>3550</v>
      </c>
      <c r="G39" t="s">
        <v>10</v>
      </c>
      <c r="H39">
        <f>IFERROR(penguins[[#This Row],[bill_length_mm]]/penguins[[#This Row],[bill_depth_mm]], "")</f>
        <v>2.2810810810810813</v>
      </c>
    </row>
    <row r="40" spans="1:8" x14ac:dyDescent="0.4">
      <c r="A40" t="s">
        <v>7</v>
      </c>
      <c r="B40" t="s">
        <v>12</v>
      </c>
      <c r="C40">
        <v>37.6</v>
      </c>
      <c r="D40">
        <v>19.3</v>
      </c>
      <c r="E40">
        <v>181</v>
      </c>
      <c r="F40">
        <v>3300</v>
      </c>
      <c r="G40" t="s">
        <v>10</v>
      </c>
      <c r="H40">
        <f>IFERROR(penguins[[#This Row],[bill_length_mm]]/penguins[[#This Row],[bill_depth_mm]], "")</f>
        <v>1.9481865284974094</v>
      </c>
    </row>
    <row r="41" spans="1:8" x14ac:dyDescent="0.4">
      <c r="A41" t="s">
        <v>7</v>
      </c>
      <c r="B41" t="s">
        <v>12</v>
      </c>
      <c r="C41">
        <v>39.799999999999997</v>
      </c>
      <c r="D41">
        <v>19.100000000000001</v>
      </c>
      <c r="E41">
        <v>184</v>
      </c>
      <c r="F41">
        <v>4650</v>
      </c>
      <c r="G41" t="s">
        <v>9</v>
      </c>
      <c r="H41">
        <f>IFERROR(penguins[[#This Row],[bill_length_mm]]/penguins[[#This Row],[bill_depth_mm]], "")</f>
        <v>2.083769633507853</v>
      </c>
    </row>
    <row r="42" spans="1:8" x14ac:dyDescent="0.4">
      <c r="A42" t="s">
        <v>7</v>
      </c>
      <c r="B42" t="s">
        <v>12</v>
      </c>
      <c r="C42">
        <v>36.5</v>
      </c>
      <c r="D42">
        <v>18</v>
      </c>
      <c r="E42">
        <v>182</v>
      </c>
      <c r="F42">
        <v>3150</v>
      </c>
      <c r="G42" t="s">
        <v>10</v>
      </c>
      <c r="H42">
        <f>IFERROR(penguins[[#This Row],[bill_length_mm]]/penguins[[#This Row],[bill_depth_mm]], "")</f>
        <v>2.0277777777777777</v>
      </c>
    </row>
    <row r="43" spans="1:8" x14ac:dyDescent="0.4">
      <c r="A43" t="s">
        <v>7</v>
      </c>
      <c r="B43" t="s">
        <v>12</v>
      </c>
      <c r="C43">
        <v>40.799999999999997</v>
      </c>
      <c r="D43">
        <v>18.399999999999999</v>
      </c>
      <c r="E43">
        <v>195</v>
      </c>
      <c r="F43">
        <v>3900</v>
      </c>
      <c r="G43" t="s">
        <v>9</v>
      </c>
      <c r="H43">
        <f>IFERROR(penguins[[#This Row],[bill_length_mm]]/penguins[[#This Row],[bill_depth_mm]], "")</f>
        <v>2.2173913043478262</v>
      </c>
    </row>
    <row r="44" spans="1:8" x14ac:dyDescent="0.4">
      <c r="A44" t="s">
        <v>7</v>
      </c>
      <c r="B44" t="s">
        <v>12</v>
      </c>
      <c r="C44">
        <v>36</v>
      </c>
      <c r="D44">
        <v>18.5</v>
      </c>
      <c r="E44">
        <v>186</v>
      </c>
      <c r="F44">
        <v>3100</v>
      </c>
      <c r="G44" t="s">
        <v>10</v>
      </c>
      <c r="H44">
        <f>IFERROR(penguins[[#This Row],[bill_length_mm]]/penguins[[#This Row],[bill_depth_mm]], "")</f>
        <v>1.9459459459459461</v>
      </c>
    </row>
    <row r="45" spans="1:8" x14ac:dyDescent="0.4">
      <c r="A45" t="s">
        <v>7</v>
      </c>
      <c r="B45" t="s">
        <v>12</v>
      </c>
      <c r="C45">
        <v>44.1</v>
      </c>
      <c r="D45">
        <v>19.7</v>
      </c>
      <c r="E45">
        <v>196</v>
      </c>
      <c r="F45">
        <v>4400</v>
      </c>
      <c r="G45" t="s">
        <v>9</v>
      </c>
      <c r="H45">
        <f>IFERROR(penguins[[#This Row],[bill_length_mm]]/penguins[[#This Row],[bill_depth_mm]], "")</f>
        <v>2.2385786802030458</v>
      </c>
    </row>
    <row r="46" spans="1:8" x14ac:dyDescent="0.4">
      <c r="A46" t="s">
        <v>7</v>
      </c>
      <c r="B46" t="s">
        <v>12</v>
      </c>
      <c r="C46">
        <v>37</v>
      </c>
      <c r="D46">
        <v>16.899999999999999</v>
      </c>
      <c r="E46">
        <v>185</v>
      </c>
      <c r="F46">
        <v>3000</v>
      </c>
      <c r="G46" t="s">
        <v>10</v>
      </c>
      <c r="H46">
        <f>IFERROR(penguins[[#This Row],[bill_length_mm]]/penguins[[#This Row],[bill_depth_mm]], "")</f>
        <v>2.1893491124260356</v>
      </c>
    </row>
    <row r="47" spans="1:8" x14ac:dyDescent="0.4">
      <c r="A47" t="s">
        <v>7</v>
      </c>
      <c r="B47" t="s">
        <v>12</v>
      </c>
      <c r="C47">
        <v>39.6</v>
      </c>
      <c r="D47">
        <v>18.8</v>
      </c>
      <c r="E47">
        <v>190</v>
      </c>
      <c r="F47">
        <v>4600</v>
      </c>
      <c r="G47" t="s">
        <v>9</v>
      </c>
      <c r="H47">
        <f>IFERROR(penguins[[#This Row],[bill_length_mm]]/penguins[[#This Row],[bill_depth_mm]], "")</f>
        <v>2.1063829787234041</v>
      </c>
    </row>
    <row r="48" spans="1:8" x14ac:dyDescent="0.4">
      <c r="A48" t="s">
        <v>7</v>
      </c>
      <c r="B48" t="s">
        <v>12</v>
      </c>
      <c r="C48">
        <v>41.1</v>
      </c>
      <c r="D48">
        <v>19</v>
      </c>
      <c r="E48">
        <v>182</v>
      </c>
      <c r="F48">
        <v>3425</v>
      </c>
      <c r="G48" t="s">
        <v>9</v>
      </c>
      <c r="H48">
        <f>IFERROR(penguins[[#This Row],[bill_length_mm]]/penguins[[#This Row],[bill_depth_mm]], "")</f>
        <v>2.1631578947368424</v>
      </c>
    </row>
    <row r="49" spans="1:8" x14ac:dyDescent="0.4">
      <c r="A49" t="s">
        <v>7</v>
      </c>
      <c r="B49" t="s">
        <v>12</v>
      </c>
      <c r="C49">
        <v>37.5</v>
      </c>
      <c r="D49">
        <v>18.899999999999999</v>
      </c>
      <c r="E49">
        <v>179</v>
      </c>
      <c r="F49">
        <v>2975</v>
      </c>
      <c r="H49">
        <f>IFERROR(penguins[[#This Row],[bill_length_mm]]/penguins[[#This Row],[bill_depth_mm]], "")</f>
        <v>1.9841269841269842</v>
      </c>
    </row>
    <row r="50" spans="1:8" x14ac:dyDescent="0.4">
      <c r="A50" t="s">
        <v>7</v>
      </c>
      <c r="B50" t="s">
        <v>12</v>
      </c>
      <c r="C50">
        <v>36</v>
      </c>
      <c r="D50">
        <v>17.899999999999999</v>
      </c>
      <c r="E50">
        <v>190</v>
      </c>
      <c r="F50">
        <v>3450</v>
      </c>
      <c r="G50" t="s">
        <v>10</v>
      </c>
      <c r="H50">
        <f>IFERROR(penguins[[#This Row],[bill_length_mm]]/penguins[[#This Row],[bill_depth_mm]], "")</f>
        <v>2.011173184357542</v>
      </c>
    </row>
    <row r="51" spans="1:8" x14ac:dyDescent="0.4">
      <c r="A51" t="s">
        <v>7</v>
      </c>
      <c r="B51" t="s">
        <v>12</v>
      </c>
      <c r="C51">
        <v>42.3</v>
      </c>
      <c r="D51">
        <v>21.2</v>
      </c>
      <c r="E51">
        <v>191</v>
      </c>
      <c r="F51">
        <v>4150</v>
      </c>
      <c r="G51" t="s">
        <v>9</v>
      </c>
      <c r="H51">
        <f>IFERROR(penguins[[#This Row],[bill_length_mm]]/penguins[[#This Row],[bill_depth_mm]], "")</f>
        <v>1.9952830188679245</v>
      </c>
    </row>
    <row r="52" spans="1:8" x14ac:dyDescent="0.4">
      <c r="A52" t="s">
        <v>7</v>
      </c>
      <c r="B52" t="s">
        <v>11</v>
      </c>
      <c r="C52">
        <v>39.6</v>
      </c>
      <c r="D52">
        <v>17.7</v>
      </c>
      <c r="E52">
        <v>186</v>
      </c>
      <c r="F52">
        <v>3500</v>
      </c>
      <c r="G52" t="s">
        <v>10</v>
      </c>
      <c r="H52">
        <f>IFERROR(penguins[[#This Row],[bill_length_mm]]/penguins[[#This Row],[bill_depth_mm]], "")</f>
        <v>2.2372881355932206</v>
      </c>
    </row>
    <row r="53" spans="1:8" x14ac:dyDescent="0.4">
      <c r="A53" t="s">
        <v>7</v>
      </c>
      <c r="B53" t="s">
        <v>11</v>
      </c>
      <c r="C53">
        <v>40.1</v>
      </c>
      <c r="D53">
        <v>18.899999999999999</v>
      </c>
      <c r="E53">
        <v>188</v>
      </c>
      <c r="F53">
        <v>4300</v>
      </c>
      <c r="G53" t="s">
        <v>9</v>
      </c>
      <c r="H53">
        <f>IFERROR(penguins[[#This Row],[bill_length_mm]]/penguins[[#This Row],[bill_depth_mm]], "")</f>
        <v>2.1216931216931219</v>
      </c>
    </row>
    <row r="54" spans="1:8" x14ac:dyDescent="0.4">
      <c r="A54" t="s">
        <v>7</v>
      </c>
      <c r="B54" t="s">
        <v>11</v>
      </c>
      <c r="C54">
        <v>35</v>
      </c>
      <c r="D54">
        <v>17.899999999999999</v>
      </c>
      <c r="E54">
        <v>190</v>
      </c>
      <c r="F54">
        <v>3450</v>
      </c>
      <c r="G54" t="s">
        <v>10</v>
      </c>
      <c r="H54">
        <f>IFERROR(penguins[[#This Row],[bill_length_mm]]/penguins[[#This Row],[bill_depth_mm]], "")</f>
        <v>1.9553072625698324</v>
      </c>
    </row>
    <row r="55" spans="1:8" x14ac:dyDescent="0.4">
      <c r="A55" t="s">
        <v>7</v>
      </c>
      <c r="B55" t="s">
        <v>11</v>
      </c>
      <c r="C55">
        <v>42</v>
      </c>
      <c r="D55">
        <v>19.5</v>
      </c>
      <c r="E55">
        <v>200</v>
      </c>
      <c r="F55">
        <v>4050</v>
      </c>
      <c r="G55" t="s">
        <v>9</v>
      </c>
      <c r="H55">
        <f>IFERROR(penguins[[#This Row],[bill_length_mm]]/penguins[[#This Row],[bill_depth_mm]], "")</f>
        <v>2.1538461538461537</v>
      </c>
    </row>
    <row r="56" spans="1:8" x14ac:dyDescent="0.4">
      <c r="A56" t="s">
        <v>7</v>
      </c>
      <c r="B56" t="s">
        <v>11</v>
      </c>
      <c r="C56">
        <v>34.5</v>
      </c>
      <c r="D56">
        <v>18.100000000000001</v>
      </c>
      <c r="E56">
        <v>187</v>
      </c>
      <c r="F56">
        <v>2900</v>
      </c>
      <c r="G56" t="s">
        <v>10</v>
      </c>
      <c r="H56">
        <f>IFERROR(penguins[[#This Row],[bill_length_mm]]/penguins[[#This Row],[bill_depth_mm]], "")</f>
        <v>1.9060773480662982</v>
      </c>
    </row>
    <row r="57" spans="1:8" x14ac:dyDescent="0.4">
      <c r="A57" t="s">
        <v>7</v>
      </c>
      <c r="B57" t="s">
        <v>11</v>
      </c>
      <c r="C57">
        <v>41.4</v>
      </c>
      <c r="D57">
        <v>18.600000000000001</v>
      </c>
      <c r="E57">
        <v>191</v>
      </c>
      <c r="F57">
        <v>3700</v>
      </c>
      <c r="G57" t="s">
        <v>9</v>
      </c>
      <c r="H57">
        <f>IFERROR(penguins[[#This Row],[bill_length_mm]]/penguins[[#This Row],[bill_depth_mm]], "")</f>
        <v>2.225806451612903</v>
      </c>
    </row>
    <row r="58" spans="1:8" x14ac:dyDescent="0.4">
      <c r="A58" t="s">
        <v>7</v>
      </c>
      <c r="B58" t="s">
        <v>11</v>
      </c>
      <c r="C58">
        <v>39</v>
      </c>
      <c r="D58">
        <v>17.5</v>
      </c>
      <c r="E58">
        <v>186</v>
      </c>
      <c r="F58">
        <v>3550</v>
      </c>
      <c r="G58" t="s">
        <v>10</v>
      </c>
      <c r="H58">
        <f>IFERROR(penguins[[#This Row],[bill_length_mm]]/penguins[[#This Row],[bill_depth_mm]], "")</f>
        <v>2.2285714285714286</v>
      </c>
    </row>
    <row r="59" spans="1:8" x14ac:dyDescent="0.4">
      <c r="A59" t="s">
        <v>7</v>
      </c>
      <c r="B59" t="s">
        <v>11</v>
      </c>
      <c r="C59">
        <v>40.6</v>
      </c>
      <c r="D59">
        <v>18.8</v>
      </c>
      <c r="E59">
        <v>193</v>
      </c>
      <c r="F59">
        <v>3800</v>
      </c>
      <c r="G59" t="s">
        <v>9</v>
      </c>
      <c r="H59">
        <f>IFERROR(penguins[[#This Row],[bill_length_mm]]/penguins[[#This Row],[bill_depth_mm]], "")</f>
        <v>2.1595744680851063</v>
      </c>
    </row>
    <row r="60" spans="1:8" x14ac:dyDescent="0.4">
      <c r="A60" t="s">
        <v>7</v>
      </c>
      <c r="B60" t="s">
        <v>11</v>
      </c>
      <c r="C60">
        <v>36.5</v>
      </c>
      <c r="D60">
        <v>16.600000000000001</v>
      </c>
      <c r="E60">
        <v>181</v>
      </c>
      <c r="F60">
        <v>2850</v>
      </c>
      <c r="G60" t="s">
        <v>10</v>
      </c>
      <c r="H60">
        <f>IFERROR(penguins[[#This Row],[bill_length_mm]]/penguins[[#This Row],[bill_depth_mm]], "")</f>
        <v>2.1987951807228914</v>
      </c>
    </row>
    <row r="61" spans="1:8" x14ac:dyDescent="0.4">
      <c r="A61" t="s">
        <v>7</v>
      </c>
      <c r="B61" t="s">
        <v>11</v>
      </c>
      <c r="C61">
        <v>37.6</v>
      </c>
      <c r="D61">
        <v>19.100000000000001</v>
      </c>
      <c r="E61">
        <v>194</v>
      </c>
      <c r="F61">
        <v>3750</v>
      </c>
      <c r="G61" t="s">
        <v>9</v>
      </c>
      <c r="H61">
        <f>IFERROR(penguins[[#This Row],[bill_length_mm]]/penguins[[#This Row],[bill_depth_mm]], "")</f>
        <v>1.9685863874345548</v>
      </c>
    </row>
    <row r="62" spans="1:8" x14ac:dyDescent="0.4">
      <c r="A62" t="s">
        <v>7</v>
      </c>
      <c r="B62" t="s">
        <v>11</v>
      </c>
      <c r="C62">
        <v>35.700000000000003</v>
      </c>
      <c r="D62">
        <v>16.899999999999999</v>
      </c>
      <c r="E62">
        <v>185</v>
      </c>
      <c r="F62">
        <v>3150</v>
      </c>
      <c r="G62" t="s">
        <v>10</v>
      </c>
      <c r="H62">
        <f>IFERROR(penguins[[#This Row],[bill_length_mm]]/penguins[[#This Row],[bill_depth_mm]], "")</f>
        <v>2.1124260355029589</v>
      </c>
    </row>
    <row r="63" spans="1:8" x14ac:dyDescent="0.4">
      <c r="A63" t="s">
        <v>7</v>
      </c>
      <c r="B63" t="s">
        <v>11</v>
      </c>
      <c r="C63">
        <v>41.3</v>
      </c>
      <c r="D63">
        <v>21.1</v>
      </c>
      <c r="E63">
        <v>195</v>
      </c>
      <c r="F63">
        <v>4400</v>
      </c>
      <c r="G63" t="s">
        <v>9</v>
      </c>
      <c r="H63">
        <f>IFERROR(penguins[[#This Row],[bill_length_mm]]/penguins[[#This Row],[bill_depth_mm]], "")</f>
        <v>1.9573459715639807</v>
      </c>
    </row>
    <row r="64" spans="1:8" x14ac:dyDescent="0.4">
      <c r="A64" t="s">
        <v>7</v>
      </c>
      <c r="B64" t="s">
        <v>11</v>
      </c>
      <c r="C64">
        <v>37.6</v>
      </c>
      <c r="D64">
        <v>17</v>
      </c>
      <c r="E64">
        <v>185</v>
      </c>
      <c r="F64">
        <v>3600</v>
      </c>
      <c r="G64" t="s">
        <v>10</v>
      </c>
      <c r="H64">
        <f>IFERROR(penguins[[#This Row],[bill_length_mm]]/penguins[[#This Row],[bill_depth_mm]], "")</f>
        <v>2.2117647058823531</v>
      </c>
    </row>
    <row r="65" spans="1:8" x14ac:dyDescent="0.4">
      <c r="A65" t="s">
        <v>7</v>
      </c>
      <c r="B65" t="s">
        <v>11</v>
      </c>
      <c r="C65">
        <v>41.1</v>
      </c>
      <c r="D65">
        <v>18.2</v>
      </c>
      <c r="E65">
        <v>192</v>
      </c>
      <c r="F65">
        <v>4050</v>
      </c>
      <c r="G65" t="s">
        <v>9</v>
      </c>
      <c r="H65">
        <f>IFERROR(penguins[[#This Row],[bill_length_mm]]/penguins[[#This Row],[bill_depth_mm]], "")</f>
        <v>2.2582417582417582</v>
      </c>
    </row>
    <row r="66" spans="1:8" x14ac:dyDescent="0.4">
      <c r="A66" t="s">
        <v>7</v>
      </c>
      <c r="B66" t="s">
        <v>11</v>
      </c>
      <c r="C66">
        <v>36.4</v>
      </c>
      <c r="D66">
        <v>17.100000000000001</v>
      </c>
      <c r="E66">
        <v>184</v>
      </c>
      <c r="F66">
        <v>2850</v>
      </c>
      <c r="G66" t="s">
        <v>10</v>
      </c>
      <c r="H66">
        <f>IFERROR(penguins[[#This Row],[bill_length_mm]]/penguins[[#This Row],[bill_depth_mm]], "")</f>
        <v>2.1286549707602336</v>
      </c>
    </row>
    <row r="67" spans="1:8" x14ac:dyDescent="0.4">
      <c r="A67" t="s">
        <v>7</v>
      </c>
      <c r="B67" t="s">
        <v>11</v>
      </c>
      <c r="C67">
        <v>41.6</v>
      </c>
      <c r="D67">
        <v>18</v>
      </c>
      <c r="E67">
        <v>192</v>
      </c>
      <c r="F67">
        <v>3950</v>
      </c>
      <c r="G67" t="s">
        <v>9</v>
      </c>
      <c r="H67">
        <f>IFERROR(penguins[[#This Row],[bill_length_mm]]/penguins[[#This Row],[bill_depth_mm]], "")</f>
        <v>2.3111111111111113</v>
      </c>
    </row>
    <row r="68" spans="1:8" x14ac:dyDescent="0.4">
      <c r="A68" t="s">
        <v>7</v>
      </c>
      <c r="B68" t="s">
        <v>11</v>
      </c>
      <c r="C68">
        <v>35.5</v>
      </c>
      <c r="D68">
        <v>16.2</v>
      </c>
      <c r="E68">
        <v>195</v>
      </c>
      <c r="F68">
        <v>3350</v>
      </c>
      <c r="G68" t="s">
        <v>10</v>
      </c>
      <c r="H68">
        <f>IFERROR(penguins[[#This Row],[bill_length_mm]]/penguins[[#This Row],[bill_depth_mm]], "")</f>
        <v>2.191358024691358</v>
      </c>
    </row>
    <row r="69" spans="1:8" x14ac:dyDescent="0.4">
      <c r="A69" t="s">
        <v>7</v>
      </c>
      <c r="B69" t="s">
        <v>11</v>
      </c>
      <c r="C69">
        <v>41.1</v>
      </c>
      <c r="D69">
        <v>19.100000000000001</v>
      </c>
      <c r="E69">
        <v>188</v>
      </c>
      <c r="F69">
        <v>4100</v>
      </c>
      <c r="G69" t="s">
        <v>9</v>
      </c>
      <c r="H69">
        <f>IFERROR(penguins[[#This Row],[bill_length_mm]]/penguins[[#This Row],[bill_depth_mm]], "")</f>
        <v>2.1518324607329844</v>
      </c>
    </row>
    <row r="70" spans="1:8" x14ac:dyDescent="0.4">
      <c r="A70" t="s">
        <v>7</v>
      </c>
      <c r="B70" t="s">
        <v>8</v>
      </c>
      <c r="C70">
        <v>35.9</v>
      </c>
      <c r="D70">
        <v>16.600000000000001</v>
      </c>
      <c r="E70">
        <v>190</v>
      </c>
      <c r="F70">
        <v>3050</v>
      </c>
      <c r="G70" t="s">
        <v>10</v>
      </c>
      <c r="H70">
        <f>IFERROR(penguins[[#This Row],[bill_length_mm]]/penguins[[#This Row],[bill_depth_mm]], "")</f>
        <v>2.1626506024096384</v>
      </c>
    </row>
    <row r="71" spans="1:8" x14ac:dyDescent="0.4">
      <c r="A71" t="s">
        <v>7</v>
      </c>
      <c r="B71" t="s">
        <v>8</v>
      </c>
      <c r="C71">
        <v>41.8</v>
      </c>
      <c r="D71">
        <v>19.399999999999999</v>
      </c>
      <c r="E71">
        <v>198</v>
      </c>
      <c r="F71">
        <v>4450</v>
      </c>
      <c r="G71" t="s">
        <v>9</v>
      </c>
      <c r="H71">
        <f>IFERROR(penguins[[#This Row],[bill_length_mm]]/penguins[[#This Row],[bill_depth_mm]], "")</f>
        <v>2.1546391752577319</v>
      </c>
    </row>
    <row r="72" spans="1:8" x14ac:dyDescent="0.4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10</v>
      </c>
      <c r="H72">
        <f>IFERROR(penguins[[#This Row],[bill_length_mm]]/penguins[[#This Row],[bill_depth_mm]], "")</f>
        <v>1.763157894736842</v>
      </c>
    </row>
    <row r="73" spans="1:8" x14ac:dyDescent="0.4">
      <c r="A73" t="s">
        <v>7</v>
      </c>
      <c r="B73" t="s">
        <v>8</v>
      </c>
      <c r="C73">
        <v>39.700000000000003</v>
      </c>
      <c r="D73">
        <v>18.399999999999999</v>
      </c>
      <c r="E73">
        <v>190</v>
      </c>
      <c r="F73">
        <v>3900</v>
      </c>
      <c r="G73" t="s">
        <v>9</v>
      </c>
      <c r="H73">
        <f>IFERROR(penguins[[#This Row],[bill_length_mm]]/penguins[[#This Row],[bill_depth_mm]], "")</f>
        <v>2.1576086956521743</v>
      </c>
    </row>
    <row r="74" spans="1:8" x14ac:dyDescent="0.4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10</v>
      </c>
      <c r="H74">
        <f>IFERROR(penguins[[#This Row],[bill_length_mm]]/penguins[[#This Row],[bill_depth_mm]], "")</f>
        <v>2.3023255813953489</v>
      </c>
    </row>
    <row r="75" spans="1:8" x14ac:dyDescent="0.4">
      <c r="A75" t="s">
        <v>7</v>
      </c>
      <c r="B75" t="s">
        <v>8</v>
      </c>
      <c r="C75">
        <v>45.8</v>
      </c>
      <c r="D75">
        <v>18.899999999999999</v>
      </c>
      <c r="E75">
        <v>197</v>
      </c>
      <c r="F75">
        <v>4150</v>
      </c>
      <c r="G75" t="s">
        <v>9</v>
      </c>
      <c r="H75">
        <f>IFERROR(penguins[[#This Row],[bill_length_mm]]/penguins[[#This Row],[bill_depth_mm]], "")</f>
        <v>2.4232804232804233</v>
      </c>
    </row>
    <row r="76" spans="1:8" x14ac:dyDescent="0.4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10</v>
      </c>
      <c r="H76">
        <f>IFERROR(penguins[[#This Row],[bill_length_mm]]/penguins[[#This Row],[bill_depth_mm]], "")</f>
        <v>2.0285714285714285</v>
      </c>
    </row>
    <row r="77" spans="1:8" x14ac:dyDescent="0.4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9</v>
      </c>
      <c r="H77">
        <f>IFERROR(penguins[[#This Row],[bill_length_mm]]/penguins[[#This Row],[bill_depth_mm]], "")</f>
        <v>2.3135135135135134</v>
      </c>
    </row>
    <row r="78" spans="1:8" x14ac:dyDescent="0.4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10</v>
      </c>
      <c r="H78">
        <f>IFERROR(penguins[[#This Row],[bill_length_mm]]/penguins[[#This Row],[bill_depth_mm]], "")</f>
        <v>2.4345238095238093</v>
      </c>
    </row>
    <row r="79" spans="1:8" x14ac:dyDescent="0.4">
      <c r="A79" t="s">
        <v>7</v>
      </c>
      <c r="B79" t="s">
        <v>8</v>
      </c>
      <c r="C79">
        <v>37.200000000000003</v>
      </c>
      <c r="D79">
        <v>19.399999999999999</v>
      </c>
      <c r="E79">
        <v>184</v>
      </c>
      <c r="F79">
        <v>3900</v>
      </c>
      <c r="G79" t="s">
        <v>9</v>
      </c>
      <c r="H79">
        <f>IFERROR(penguins[[#This Row],[bill_length_mm]]/penguins[[#This Row],[bill_depth_mm]], "")</f>
        <v>1.9175257731958766</v>
      </c>
    </row>
    <row r="80" spans="1:8" x14ac:dyDescent="0.4">
      <c r="A80" t="s">
        <v>7</v>
      </c>
      <c r="B80" t="s">
        <v>8</v>
      </c>
      <c r="C80">
        <v>36.200000000000003</v>
      </c>
      <c r="D80">
        <v>16.100000000000001</v>
      </c>
      <c r="E80">
        <v>187</v>
      </c>
      <c r="F80">
        <v>3550</v>
      </c>
      <c r="G80" t="s">
        <v>10</v>
      </c>
      <c r="H80">
        <f>IFERROR(penguins[[#This Row],[bill_length_mm]]/penguins[[#This Row],[bill_depth_mm]], "")</f>
        <v>2.2484472049689441</v>
      </c>
    </row>
    <row r="81" spans="1:8" x14ac:dyDescent="0.4">
      <c r="A81" t="s">
        <v>7</v>
      </c>
      <c r="B81" t="s">
        <v>8</v>
      </c>
      <c r="C81">
        <v>42.1</v>
      </c>
      <c r="D81">
        <v>19.100000000000001</v>
      </c>
      <c r="E81">
        <v>195</v>
      </c>
      <c r="F81">
        <v>4000</v>
      </c>
      <c r="G81" t="s">
        <v>9</v>
      </c>
      <c r="H81">
        <f>IFERROR(penguins[[#This Row],[bill_length_mm]]/penguins[[#This Row],[bill_depth_mm]], "")</f>
        <v>2.2041884816753927</v>
      </c>
    </row>
    <row r="82" spans="1:8" x14ac:dyDescent="0.4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10</v>
      </c>
      <c r="H82">
        <f>IFERROR(penguins[[#This Row],[bill_length_mm]]/penguins[[#This Row],[bill_depth_mm]], "")</f>
        <v>2.0116279069767442</v>
      </c>
    </row>
    <row r="83" spans="1:8" x14ac:dyDescent="0.4">
      <c r="A83" t="s">
        <v>7</v>
      </c>
      <c r="B83" t="s">
        <v>8</v>
      </c>
      <c r="C83">
        <v>42.9</v>
      </c>
      <c r="D83">
        <v>17.600000000000001</v>
      </c>
      <c r="E83">
        <v>196</v>
      </c>
      <c r="F83">
        <v>4700</v>
      </c>
      <c r="G83" t="s">
        <v>9</v>
      </c>
      <c r="H83">
        <f>IFERROR(penguins[[#This Row],[bill_length_mm]]/penguins[[#This Row],[bill_depth_mm]], "")</f>
        <v>2.4374999999999996</v>
      </c>
    </row>
    <row r="84" spans="1:8" x14ac:dyDescent="0.4">
      <c r="A84" t="s">
        <v>7</v>
      </c>
      <c r="B84" t="s">
        <v>8</v>
      </c>
      <c r="C84">
        <v>36.700000000000003</v>
      </c>
      <c r="D84">
        <v>18.8</v>
      </c>
      <c r="E84">
        <v>187</v>
      </c>
      <c r="F84">
        <v>3800</v>
      </c>
      <c r="G84" t="s">
        <v>10</v>
      </c>
      <c r="H84">
        <f>IFERROR(penguins[[#This Row],[bill_length_mm]]/penguins[[#This Row],[bill_depth_mm]], "")</f>
        <v>1.9521276595744681</v>
      </c>
    </row>
    <row r="85" spans="1:8" x14ac:dyDescent="0.4">
      <c r="A85" t="s">
        <v>7</v>
      </c>
      <c r="B85" t="s">
        <v>8</v>
      </c>
      <c r="C85">
        <v>35.1</v>
      </c>
      <c r="D85">
        <v>19.399999999999999</v>
      </c>
      <c r="E85">
        <v>193</v>
      </c>
      <c r="F85">
        <v>4200</v>
      </c>
      <c r="G85" t="s">
        <v>9</v>
      </c>
      <c r="H85">
        <f>IFERROR(penguins[[#This Row],[bill_length_mm]]/penguins[[#This Row],[bill_depth_mm]], "")</f>
        <v>1.8092783505154642</v>
      </c>
    </row>
    <row r="86" spans="1:8" x14ac:dyDescent="0.4">
      <c r="A86" t="s">
        <v>7</v>
      </c>
      <c r="B86" t="s">
        <v>12</v>
      </c>
      <c r="C86">
        <v>37.299999999999997</v>
      </c>
      <c r="D86">
        <v>17.8</v>
      </c>
      <c r="E86">
        <v>191</v>
      </c>
      <c r="F86">
        <v>3350</v>
      </c>
      <c r="G86" t="s">
        <v>10</v>
      </c>
      <c r="H86">
        <f>IFERROR(penguins[[#This Row],[bill_length_mm]]/penguins[[#This Row],[bill_depth_mm]], "")</f>
        <v>2.095505617977528</v>
      </c>
    </row>
    <row r="87" spans="1:8" x14ac:dyDescent="0.4">
      <c r="A87" t="s">
        <v>7</v>
      </c>
      <c r="B87" t="s">
        <v>12</v>
      </c>
      <c r="C87">
        <v>41.3</v>
      </c>
      <c r="D87">
        <v>20.3</v>
      </c>
      <c r="E87">
        <v>194</v>
      </c>
      <c r="F87">
        <v>3550</v>
      </c>
      <c r="G87" t="s">
        <v>9</v>
      </c>
      <c r="H87">
        <f>IFERROR(penguins[[#This Row],[bill_length_mm]]/penguins[[#This Row],[bill_depth_mm]], "")</f>
        <v>2.0344827586206895</v>
      </c>
    </row>
    <row r="88" spans="1:8" x14ac:dyDescent="0.4">
      <c r="A88" t="s">
        <v>7</v>
      </c>
      <c r="B88" t="s">
        <v>12</v>
      </c>
      <c r="C88">
        <v>36.299999999999997</v>
      </c>
      <c r="D88">
        <v>19.5</v>
      </c>
      <c r="E88">
        <v>190</v>
      </c>
      <c r="F88">
        <v>3800</v>
      </c>
      <c r="G88" t="s">
        <v>9</v>
      </c>
      <c r="H88">
        <f>IFERROR(penguins[[#This Row],[bill_length_mm]]/penguins[[#This Row],[bill_depth_mm]], "")</f>
        <v>1.8615384615384614</v>
      </c>
    </row>
    <row r="89" spans="1:8" x14ac:dyDescent="0.4">
      <c r="A89" t="s">
        <v>7</v>
      </c>
      <c r="B89" t="s">
        <v>12</v>
      </c>
      <c r="C89">
        <v>36.9</v>
      </c>
      <c r="D89">
        <v>18.600000000000001</v>
      </c>
      <c r="E89">
        <v>189</v>
      </c>
      <c r="F89">
        <v>3500</v>
      </c>
      <c r="G89" t="s">
        <v>10</v>
      </c>
      <c r="H89">
        <f>IFERROR(penguins[[#This Row],[bill_length_mm]]/penguins[[#This Row],[bill_depth_mm]], "")</f>
        <v>1.9838709677419353</v>
      </c>
    </row>
    <row r="90" spans="1:8" x14ac:dyDescent="0.4">
      <c r="A90" t="s">
        <v>7</v>
      </c>
      <c r="B90" t="s">
        <v>12</v>
      </c>
      <c r="C90">
        <v>38.299999999999997</v>
      </c>
      <c r="D90">
        <v>19.2</v>
      </c>
      <c r="E90">
        <v>189</v>
      </c>
      <c r="F90">
        <v>3950</v>
      </c>
      <c r="G90" t="s">
        <v>9</v>
      </c>
      <c r="H90">
        <f>IFERROR(penguins[[#This Row],[bill_length_mm]]/penguins[[#This Row],[bill_depth_mm]], "")</f>
        <v>1.9947916666666665</v>
      </c>
    </row>
    <row r="91" spans="1:8" x14ac:dyDescent="0.4">
      <c r="A91" t="s">
        <v>7</v>
      </c>
      <c r="B91" t="s">
        <v>12</v>
      </c>
      <c r="C91">
        <v>38.9</v>
      </c>
      <c r="D91">
        <v>18.8</v>
      </c>
      <c r="E91">
        <v>190</v>
      </c>
      <c r="F91">
        <v>3600</v>
      </c>
      <c r="G91" t="s">
        <v>10</v>
      </c>
      <c r="H91">
        <f>IFERROR(penguins[[#This Row],[bill_length_mm]]/penguins[[#This Row],[bill_depth_mm]], "")</f>
        <v>2.0691489361702127</v>
      </c>
    </row>
    <row r="92" spans="1:8" x14ac:dyDescent="0.4">
      <c r="A92" t="s">
        <v>7</v>
      </c>
      <c r="B92" t="s">
        <v>12</v>
      </c>
      <c r="C92">
        <v>35.700000000000003</v>
      </c>
      <c r="D92">
        <v>18</v>
      </c>
      <c r="E92">
        <v>202</v>
      </c>
      <c r="F92">
        <v>3550</v>
      </c>
      <c r="G92" t="s">
        <v>10</v>
      </c>
      <c r="H92">
        <f>IFERROR(penguins[[#This Row],[bill_length_mm]]/penguins[[#This Row],[bill_depth_mm]], "")</f>
        <v>1.9833333333333334</v>
      </c>
    </row>
    <row r="93" spans="1:8" x14ac:dyDescent="0.4">
      <c r="A93" t="s">
        <v>7</v>
      </c>
      <c r="B93" t="s">
        <v>12</v>
      </c>
      <c r="C93">
        <v>41.1</v>
      </c>
      <c r="D93">
        <v>18.100000000000001</v>
      </c>
      <c r="E93">
        <v>205</v>
      </c>
      <c r="F93">
        <v>4300</v>
      </c>
      <c r="G93" t="s">
        <v>9</v>
      </c>
      <c r="H93">
        <f>IFERROR(penguins[[#This Row],[bill_length_mm]]/penguins[[#This Row],[bill_depth_mm]], "")</f>
        <v>2.270718232044199</v>
      </c>
    </row>
    <row r="94" spans="1:8" x14ac:dyDescent="0.4">
      <c r="A94" t="s">
        <v>7</v>
      </c>
      <c r="B94" t="s">
        <v>12</v>
      </c>
      <c r="C94">
        <v>34</v>
      </c>
      <c r="D94">
        <v>17.100000000000001</v>
      </c>
      <c r="E94">
        <v>185</v>
      </c>
      <c r="F94">
        <v>3400</v>
      </c>
      <c r="G94" t="s">
        <v>10</v>
      </c>
      <c r="H94">
        <f>IFERROR(penguins[[#This Row],[bill_length_mm]]/penguins[[#This Row],[bill_depth_mm]], "")</f>
        <v>1.9883040935672514</v>
      </c>
    </row>
    <row r="95" spans="1:8" x14ac:dyDescent="0.4">
      <c r="A95" t="s">
        <v>7</v>
      </c>
      <c r="B95" t="s">
        <v>12</v>
      </c>
      <c r="C95">
        <v>39.6</v>
      </c>
      <c r="D95">
        <v>18.100000000000001</v>
      </c>
      <c r="E95">
        <v>186</v>
      </c>
      <c r="F95">
        <v>4450</v>
      </c>
      <c r="G95" t="s">
        <v>9</v>
      </c>
      <c r="H95">
        <f>IFERROR(penguins[[#This Row],[bill_length_mm]]/penguins[[#This Row],[bill_depth_mm]], "")</f>
        <v>2.1878453038674031</v>
      </c>
    </row>
    <row r="96" spans="1:8" x14ac:dyDescent="0.4">
      <c r="A96" t="s">
        <v>7</v>
      </c>
      <c r="B96" t="s">
        <v>12</v>
      </c>
      <c r="C96">
        <v>36.200000000000003</v>
      </c>
      <c r="D96">
        <v>17.3</v>
      </c>
      <c r="E96">
        <v>187</v>
      </c>
      <c r="F96">
        <v>3300</v>
      </c>
      <c r="G96" t="s">
        <v>10</v>
      </c>
      <c r="H96">
        <f>IFERROR(penguins[[#This Row],[bill_length_mm]]/penguins[[#This Row],[bill_depth_mm]], "")</f>
        <v>2.0924855491329479</v>
      </c>
    </row>
    <row r="97" spans="1:8" x14ac:dyDescent="0.4">
      <c r="A97" t="s">
        <v>7</v>
      </c>
      <c r="B97" t="s">
        <v>12</v>
      </c>
      <c r="C97">
        <v>40.799999999999997</v>
      </c>
      <c r="D97">
        <v>18.899999999999999</v>
      </c>
      <c r="E97">
        <v>208</v>
      </c>
      <c r="F97">
        <v>4300</v>
      </c>
      <c r="G97" t="s">
        <v>9</v>
      </c>
      <c r="H97">
        <f>IFERROR(penguins[[#This Row],[bill_length_mm]]/penguins[[#This Row],[bill_depth_mm]], "")</f>
        <v>2.1587301587301586</v>
      </c>
    </row>
    <row r="98" spans="1:8" x14ac:dyDescent="0.4">
      <c r="A98" t="s">
        <v>7</v>
      </c>
      <c r="B98" t="s">
        <v>12</v>
      </c>
      <c r="C98">
        <v>38.1</v>
      </c>
      <c r="D98">
        <v>18.600000000000001</v>
      </c>
      <c r="E98">
        <v>190</v>
      </c>
      <c r="F98">
        <v>3700</v>
      </c>
      <c r="G98" t="s">
        <v>10</v>
      </c>
      <c r="H98">
        <f>IFERROR(penguins[[#This Row],[bill_length_mm]]/penguins[[#This Row],[bill_depth_mm]], "")</f>
        <v>2.0483870967741935</v>
      </c>
    </row>
    <row r="99" spans="1:8" x14ac:dyDescent="0.4">
      <c r="A99" t="s">
        <v>7</v>
      </c>
      <c r="B99" t="s">
        <v>12</v>
      </c>
      <c r="C99">
        <v>40.299999999999997</v>
      </c>
      <c r="D99">
        <v>18.5</v>
      </c>
      <c r="E99">
        <v>196</v>
      </c>
      <c r="F99">
        <v>4350</v>
      </c>
      <c r="G99" t="s">
        <v>9</v>
      </c>
      <c r="H99">
        <f>IFERROR(penguins[[#This Row],[bill_length_mm]]/penguins[[#This Row],[bill_depth_mm]], "")</f>
        <v>2.1783783783783783</v>
      </c>
    </row>
    <row r="100" spans="1:8" x14ac:dyDescent="0.4">
      <c r="A100" t="s">
        <v>7</v>
      </c>
      <c r="B100" t="s">
        <v>12</v>
      </c>
      <c r="C100">
        <v>33.1</v>
      </c>
      <c r="D100">
        <v>16.100000000000001</v>
      </c>
      <c r="E100">
        <v>178</v>
      </c>
      <c r="F100">
        <v>2900</v>
      </c>
      <c r="G100" t="s">
        <v>10</v>
      </c>
      <c r="H100">
        <f>IFERROR(penguins[[#This Row],[bill_length_mm]]/penguins[[#This Row],[bill_depth_mm]], "")</f>
        <v>2.0559006211180124</v>
      </c>
    </row>
    <row r="101" spans="1:8" x14ac:dyDescent="0.4">
      <c r="A101" t="s">
        <v>7</v>
      </c>
      <c r="B101" t="s">
        <v>12</v>
      </c>
      <c r="C101">
        <v>43.2</v>
      </c>
      <c r="D101">
        <v>18.5</v>
      </c>
      <c r="E101">
        <v>192</v>
      </c>
      <c r="F101">
        <v>4100</v>
      </c>
      <c r="G101" t="s">
        <v>9</v>
      </c>
      <c r="H101">
        <f>IFERROR(penguins[[#This Row],[bill_length_mm]]/penguins[[#This Row],[bill_depth_mm]], "")</f>
        <v>2.3351351351351353</v>
      </c>
    </row>
    <row r="102" spans="1:8" x14ac:dyDescent="0.4">
      <c r="A102" t="s">
        <v>7</v>
      </c>
      <c r="B102" t="s">
        <v>11</v>
      </c>
      <c r="C102">
        <v>35</v>
      </c>
      <c r="D102">
        <v>17.899999999999999</v>
      </c>
      <c r="E102">
        <v>192</v>
      </c>
      <c r="F102">
        <v>3725</v>
      </c>
      <c r="G102" t="s">
        <v>10</v>
      </c>
      <c r="H102">
        <f>IFERROR(penguins[[#This Row],[bill_length_mm]]/penguins[[#This Row],[bill_depth_mm]], "")</f>
        <v>1.9553072625698324</v>
      </c>
    </row>
    <row r="103" spans="1:8" x14ac:dyDescent="0.4">
      <c r="A103" t="s">
        <v>7</v>
      </c>
      <c r="B103" t="s">
        <v>11</v>
      </c>
      <c r="C103">
        <v>41</v>
      </c>
      <c r="D103">
        <v>20</v>
      </c>
      <c r="E103">
        <v>203</v>
      </c>
      <c r="F103">
        <v>4725</v>
      </c>
      <c r="G103" t="s">
        <v>9</v>
      </c>
      <c r="H103">
        <f>IFERROR(penguins[[#This Row],[bill_length_mm]]/penguins[[#This Row],[bill_depth_mm]], "")</f>
        <v>2.0499999999999998</v>
      </c>
    </row>
    <row r="104" spans="1:8" x14ac:dyDescent="0.4">
      <c r="A104" t="s">
        <v>7</v>
      </c>
      <c r="B104" t="s">
        <v>11</v>
      </c>
      <c r="C104">
        <v>37.700000000000003</v>
      </c>
      <c r="D104">
        <v>16</v>
      </c>
      <c r="E104">
        <v>183</v>
      </c>
      <c r="F104">
        <v>3075</v>
      </c>
      <c r="G104" t="s">
        <v>10</v>
      </c>
      <c r="H104">
        <f>IFERROR(penguins[[#This Row],[bill_length_mm]]/penguins[[#This Row],[bill_depth_mm]], "")</f>
        <v>2.3562500000000002</v>
      </c>
    </row>
    <row r="105" spans="1:8" x14ac:dyDescent="0.4">
      <c r="A105" t="s">
        <v>7</v>
      </c>
      <c r="B105" t="s">
        <v>11</v>
      </c>
      <c r="C105">
        <v>37.799999999999997</v>
      </c>
      <c r="D105">
        <v>20</v>
      </c>
      <c r="E105">
        <v>190</v>
      </c>
      <c r="F105">
        <v>4250</v>
      </c>
      <c r="G105" t="s">
        <v>9</v>
      </c>
      <c r="H105">
        <f>IFERROR(penguins[[#This Row],[bill_length_mm]]/penguins[[#This Row],[bill_depth_mm]], "")</f>
        <v>1.89</v>
      </c>
    </row>
    <row r="106" spans="1:8" x14ac:dyDescent="0.4">
      <c r="A106" t="s">
        <v>7</v>
      </c>
      <c r="B106" t="s">
        <v>11</v>
      </c>
      <c r="C106">
        <v>37.9</v>
      </c>
      <c r="D106">
        <v>18.600000000000001</v>
      </c>
      <c r="E106">
        <v>193</v>
      </c>
      <c r="F106">
        <v>2925</v>
      </c>
      <c r="G106" t="s">
        <v>10</v>
      </c>
      <c r="H106">
        <f>IFERROR(penguins[[#This Row],[bill_length_mm]]/penguins[[#This Row],[bill_depth_mm]], "")</f>
        <v>2.0376344086021505</v>
      </c>
    </row>
    <row r="107" spans="1:8" x14ac:dyDescent="0.4">
      <c r="A107" t="s">
        <v>7</v>
      </c>
      <c r="B107" t="s">
        <v>11</v>
      </c>
      <c r="C107">
        <v>39.700000000000003</v>
      </c>
      <c r="D107">
        <v>18.899999999999999</v>
      </c>
      <c r="E107">
        <v>184</v>
      </c>
      <c r="F107">
        <v>3550</v>
      </c>
      <c r="G107" t="s">
        <v>9</v>
      </c>
      <c r="H107">
        <f>IFERROR(penguins[[#This Row],[bill_length_mm]]/penguins[[#This Row],[bill_depth_mm]], "")</f>
        <v>2.1005291005291009</v>
      </c>
    </row>
    <row r="108" spans="1:8" x14ac:dyDescent="0.4">
      <c r="A108" t="s">
        <v>7</v>
      </c>
      <c r="B108" t="s">
        <v>11</v>
      </c>
      <c r="C108">
        <v>38.6</v>
      </c>
      <c r="D108">
        <v>17.2</v>
      </c>
      <c r="E108">
        <v>199</v>
      </c>
      <c r="F108">
        <v>3750</v>
      </c>
      <c r="G108" t="s">
        <v>10</v>
      </c>
      <c r="H108">
        <f>IFERROR(penguins[[#This Row],[bill_length_mm]]/penguins[[#This Row],[bill_depth_mm]], "")</f>
        <v>2.2441860465116279</v>
      </c>
    </row>
    <row r="109" spans="1:8" x14ac:dyDescent="0.4">
      <c r="A109" t="s">
        <v>7</v>
      </c>
      <c r="B109" t="s">
        <v>11</v>
      </c>
      <c r="C109">
        <v>38.200000000000003</v>
      </c>
      <c r="D109">
        <v>20</v>
      </c>
      <c r="E109">
        <v>190</v>
      </c>
      <c r="F109">
        <v>3900</v>
      </c>
      <c r="G109" t="s">
        <v>9</v>
      </c>
      <c r="H109">
        <f>IFERROR(penguins[[#This Row],[bill_length_mm]]/penguins[[#This Row],[bill_depth_mm]], "")</f>
        <v>1.9100000000000001</v>
      </c>
    </row>
    <row r="110" spans="1:8" x14ac:dyDescent="0.4">
      <c r="A110" t="s">
        <v>7</v>
      </c>
      <c r="B110" t="s">
        <v>11</v>
      </c>
      <c r="C110">
        <v>38.1</v>
      </c>
      <c r="D110">
        <v>17</v>
      </c>
      <c r="E110">
        <v>181</v>
      </c>
      <c r="F110">
        <v>3175</v>
      </c>
      <c r="G110" t="s">
        <v>10</v>
      </c>
      <c r="H110">
        <f>IFERROR(penguins[[#This Row],[bill_length_mm]]/penguins[[#This Row],[bill_depth_mm]], "")</f>
        <v>2.2411764705882353</v>
      </c>
    </row>
    <row r="111" spans="1:8" x14ac:dyDescent="0.4">
      <c r="A111" t="s">
        <v>7</v>
      </c>
      <c r="B111" t="s">
        <v>11</v>
      </c>
      <c r="C111">
        <v>43.2</v>
      </c>
      <c r="D111">
        <v>19</v>
      </c>
      <c r="E111">
        <v>197</v>
      </c>
      <c r="F111">
        <v>4775</v>
      </c>
      <c r="G111" t="s">
        <v>9</v>
      </c>
      <c r="H111">
        <f>IFERROR(penguins[[#This Row],[bill_length_mm]]/penguins[[#This Row],[bill_depth_mm]], "")</f>
        <v>2.2736842105263158</v>
      </c>
    </row>
    <row r="112" spans="1:8" x14ac:dyDescent="0.4">
      <c r="A112" t="s">
        <v>7</v>
      </c>
      <c r="B112" t="s">
        <v>11</v>
      </c>
      <c r="C112">
        <v>38.1</v>
      </c>
      <c r="D112">
        <v>16.5</v>
      </c>
      <c r="E112">
        <v>198</v>
      </c>
      <c r="F112">
        <v>3825</v>
      </c>
      <c r="G112" t="s">
        <v>10</v>
      </c>
      <c r="H112">
        <f>IFERROR(penguins[[#This Row],[bill_length_mm]]/penguins[[#This Row],[bill_depth_mm]], "")</f>
        <v>2.3090909090909091</v>
      </c>
    </row>
    <row r="113" spans="1:8" x14ac:dyDescent="0.4">
      <c r="A113" t="s">
        <v>7</v>
      </c>
      <c r="B113" t="s">
        <v>11</v>
      </c>
      <c r="C113">
        <v>45.6</v>
      </c>
      <c r="D113">
        <v>20.3</v>
      </c>
      <c r="E113">
        <v>191</v>
      </c>
      <c r="F113">
        <v>4600</v>
      </c>
      <c r="G113" t="s">
        <v>9</v>
      </c>
      <c r="H113">
        <f>IFERROR(penguins[[#This Row],[bill_length_mm]]/penguins[[#This Row],[bill_depth_mm]], "")</f>
        <v>2.2463054187192117</v>
      </c>
    </row>
    <row r="114" spans="1:8" x14ac:dyDescent="0.4">
      <c r="A114" t="s">
        <v>7</v>
      </c>
      <c r="B114" t="s">
        <v>11</v>
      </c>
      <c r="C114">
        <v>39.700000000000003</v>
      </c>
      <c r="D114">
        <v>17.7</v>
      </c>
      <c r="E114">
        <v>193</v>
      </c>
      <c r="F114">
        <v>3200</v>
      </c>
      <c r="G114" t="s">
        <v>10</v>
      </c>
      <c r="H114">
        <f>IFERROR(penguins[[#This Row],[bill_length_mm]]/penguins[[#This Row],[bill_depth_mm]], "")</f>
        <v>2.2429378531073447</v>
      </c>
    </row>
    <row r="115" spans="1:8" x14ac:dyDescent="0.4">
      <c r="A115" t="s">
        <v>7</v>
      </c>
      <c r="B115" t="s">
        <v>11</v>
      </c>
      <c r="C115">
        <v>42.2</v>
      </c>
      <c r="D115">
        <v>19.5</v>
      </c>
      <c r="E115">
        <v>197</v>
      </c>
      <c r="F115">
        <v>4275</v>
      </c>
      <c r="G115" t="s">
        <v>9</v>
      </c>
      <c r="H115">
        <f>IFERROR(penguins[[#This Row],[bill_length_mm]]/penguins[[#This Row],[bill_depth_mm]], "")</f>
        <v>2.1641025641025644</v>
      </c>
    </row>
    <row r="116" spans="1:8" x14ac:dyDescent="0.4">
      <c r="A116" t="s">
        <v>7</v>
      </c>
      <c r="B116" t="s">
        <v>11</v>
      </c>
      <c r="C116">
        <v>39.6</v>
      </c>
      <c r="D116">
        <v>20.7</v>
      </c>
      <c r="E116">
        <v>191</v>
      </c>
      <c r="F116">
        <v>3900</v>
      </c>
      <c r="G116" t="s">
        <v>10</v>
      </c>
      <c r="H116">
        <f>IFERROR(penguins[[#This Row],[bill_length_mm]]/penguins[[#This Row],[bill_depth_mm]], "")</f>
        <v>1.9130434782608696</v>
      </c>
    </row>
    <row r="117" spans="1:8" x14ac:dyDescent="0.4">
      <c r="A117" t="s">
        <v>7</v>
      </c>
      <c r="B117" t="s">
        <v>11</v>
      </c>
      <c r="C117">
        <v>42.7</v>
      </c>
      <c r="D117">
        <v>18.3</v>
      </c>
      <c r="E117">
        <v>196</v>
      </c>
      <c r="F117">
        <v>4075</v>
      </c>
      <c r="G117" t="s">
        <v>9</v>
      </c>
      <c r="H117">
        <f>IFERROR(penguins[[#This Row],[bill_length_mm]]/penguins[[#This Row],[bill_depth_mm]], "")</f>
        <v>2.3333333333333335</v>
      </c>
    </row>
    <row r="118" spans="1:8" x14ac:dyDescent="0.4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10</v>
      </c>
      <c r="H118">
        <f>IFERROR(penguins[[#This Row],[bill_length_mm]]/penguins[[#This Row],[bill_depth_mm]], "")</f>
        <v>2.2705882352941176</v>
      </c>
    </row>
    <row r="119" spans="1:8" x14ac:dyDescent="0.4">
      <c r="A119" t="s">
        <v>7</v>
      </c>
      <c r="B119" t="s">
        <v>8</v>
      </c>
      <c r="C119">
        <v>37.299999999999997</v>
      </c>
      <c r="D119">
        <v>20.5</v>
      </c>
      <c r="E119">
        <v>199</v>
      </c>
      <c r="F119">
        <v>3775</v>
      </c>
      <c r="G119" t="s">
        <v>9</v>
      </c>
      <c r="H119">
        <f>IFERROR(penguins[[#This Row],[bill_length_mm]]/penguins[[#This Row],[bill_depth_mm]], "")</f>
        <v>1.8195121951219511</v>
      </c>
    </row>
    <row r="120" spans="1:8" x14ac:dyDescent="0.4">
      <c r="A120" t="s">
        <v>7</v>
      </c>
      <c r="B120" t="s">
        <v>8</v>
      </c>
      <c r="C120">
        <v>35.700000000000003</v>
      </c>
      <c r="D120">
        <v>17</v>
      </c>
      <c r="E120">
        <v>189</v>
      </c>
      <c r="F120">
        <v>3350</v>
      </c>
      <c r="G120" t="s">
        <v>10</v>
      </c>
      <c r="H120">
        <f>IFERROR(penguins[[#This Row],[bill_length_mm]]/penguins[[#This Row],[bill_depth_mm]], "")</f>
        <v>2.1</v>
      </c>
    </row>
    <row r="121" spans="1:8" x14ac:dyDescent="0.4">
      <c r="A121" t="s">
        <v>7</v>
      </c>
      <c r="B121" t="s">
        <v>8</v>
      </c>
      <c r="C121">
        <v>41.1</v>
      </c>
      <c r="D121">
        <v>18.600000000000001</v>
      </c>
      <c r="E121">
        <v>189</v>
      </c>
      <c r="F121">
        <v>3325</v>
      </c>
      <c r="G121" t="s">
        <v>9</v>
      </c>
      <c r="H121">
        <f>IFERROR(penguins[[#This Row],[bill_length_mm]]/penguins[[#This Row],[bill_depth_mm]], "")</f>
        <v>2.2096774193548385</v>
      </c>
    </row>
    <row r="122" spans="1:8" x14ac:dyDescent="0.4">
      <c r="A122" t="s">
        <v>7</v>
      </c>
      <c r="B122" t="s">
        <v>8</v>
      </c>
      <c r="C122">
        <v>36.200000000000003</v>
      </c>
      <c r="D122">
        <v>17.2</v>
      </c>
      <c r="E122">
        <v>187</v>
      </c>
      <c r="F122">
        <v>3150</v>
      </c>
      <c r="G122" t="s">
        <v>10</v>
      </c>
      <c r="H122">
        <f>IFERROR(penguins[[#This Row],[bill_length_mm]]/penguins[[#This Row],[bill_depth_mm]], "")</f>
        <v>2.1046511627906979</v>
      </c>
    </row>
    <row r="123" spans="1:8" x14ac:dyDescent="0.4">
      <c r="A123" t="s">
        <v>7</v>
      </c>
      <c r="B123" t="s">
        <v>8</v>
      </c>
      <c r="C123">
        <v>37.700000000000003</v>
      </c>
      <c r="D123">
        <v>19.8</v>
      </c>
      <c r="E123">
        <v>198</v>
      </c>
      <c r="F123">
        <v>3500</v>
      </c>
      <c r="G123" t="s">
        <v>9</v>
      </c>
      <c r="H123">
        <f>IFERROR(penguins[[#This Row],[bill_length_mm]]/penguins[[#This Row],[bill_depth_mm]], "")</f>
        <v>1.9040404040404042</v>
      </c>
    </row>
    <row r="124" spans="1:8" x14ac:dyDescent="0.4">
      <c r="A124" t="s">
        <v>7</v>
      </c>
      <c r="B124" t="s">
        <v>8</v>
      </c>
      <c r="C124">
        <v>40.200000000000003</v>
      </c>
      <c r="D124">
        <v>17</v>
      </c>
      <c r="E124">
        <v>176</v>
      </c>
      <c r="F124">
        <v>3450</v>
      </c>
      <c r="G124" t="s">
        <v>10</v>
      </c>
      <c r="H124">
        <f>IFERROR(penguins[[#This Row],[bill_length_mm]]/penguins[[#This Row],[bill_depth_mm]], "")</f>
        <v>2.3647058823529412</v>
      </c>
    </row>
    <row r="125" spans="1:8" x14ac:dyDescent="0.4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9</v>
      </c>
      <c r="H125">
        <f>IFERROR(penguins[[#This Row],[bill_length_mm]]/penguins[[#This Row],[bill_depth_mm]], "")</f>
        <v>2.2378378378378376</v>
      </c>
    </row>
    <row r="126" spans="1:8" x14ac:dyDescent="0.4">
      <c r="A126" t="s">
        <v>7</v>
      </c>
      <c r="B126" t="s">
        <v>8</v>
      </c>
      <c r="C126">
        <v>35.200000000000003</v>
      </c>
      <c r="D126">
        <v>15.9</v>
      </c>
      <c r="E126">
        <v>186</v>
      </c>
      <c r="F126">
        <v>3050</v>
      </c>
      <c r="G126" t="s">
        <v>10</v>
      </c>
      <c r="H126">
        <f>IFERROR(penguins[[#This Row],[bill_length_mm]]/penguins[[#This Row],[bill_depth_mm]], "")</f>
        <v>2.2138364779874213</v>
      </c>
    </row>
    <row r="127" spans="1:8" x14ac:dyDescent="0.4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9</v>
      </c>
      <c r="H127">
        <f>IFERROR(penguins[[#This Row],[bill_length_mm]]/penguins[[#This Row],[bill_depth_mm]], "")</f>
        <v>2.1368421052631579</v>
      </c>
    </row>
    <row r="128" spans="1:8" x14ac:dyDescent="0.4">
      <c r="A128" t="s">
        <v>7</v>
      </c>
      <c r="B128" t="s">
        <v>8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10</v>
      </c>
      <c r="H128">
        <f>IFERROR(penguins[[#This Row],[bill_length_mm]]/penguins[[#This Row],[bill_depth_mm]], "")</f>
        <v>2.2045454545454541</v>
      </c>
    </row>
    <row r="129" spans="1:8" x14ac:dyDescent="0.4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9</v>
      </c>
      <c r="H129">
        <f>IFERROR(penguins[[#This Row],[bill_length_mm]]/penguins[[#This Row],[bill_depth_mm]], "")</f>
        <v>2.2677595628415301</v>
      </c>
    </row>
    <row r="130" spans="1:8" x14ac:dyDescent="0.4">
      <c r="A130" t="s">
        <v>7</v>
      </c>
      <c r="B130" t="s">
        <v>8</v>
      </c>
      <c r="C130">
        <v>39</v>
      </c>
      <c r="D130">
        <v>17.100000000000001</v>
      </c>
      <c r="E130">
        <v>191</v>
      </c>
      <c r="F130">
        <v>3050</v>
      </c>
      <c r="G130" t="s">
        <v>10</v>
      </c>
      <c r="H130">
        <f>IFERROR(penguins[[#This Row],[bill_length_mm]]/penguins[[#This Row],[bill_depth_mm]], "")</f>
        <v>2.2807017543859649</v>
      </c>
    </row>
    <row r="131" spans="1:8" x14ac:dyDescent="0.4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9</v>
      </c>
      <c r="H131">
        <f>IFERROR(penguins[[#This Row],[bill_length_mm]]/penguins[[#This Row],[bill_depth_mm]], "")</f>
        <v>2.4500000000000002</v>
      </c>
    </row>
    <row r="132" spans="1:8" x14ac:dyDescent="0.4">
      <c r="A132" t="s">
        <v>7</v>
      </c>
      <c r="B132" t="s">
        <v>8</v>
      </c>
      <c r="C132">
        <v>38.5</v>
      </c>
      <c r="D132">
        <v>17.899999999999999</v>
      </c>
      <c r="E132">
        <v>190</v>
      </c>
      <c r="F132">
        <v>3325</v>
      </c>
      <c r="G132" t="s">
        <v>10</v>
      </c>
      <c r="H132">
        <f>IFERROR(penguins[[#This Row],[bill_length_mm]]/penguins[[#This Row],[bill_depth_mm]], "")</f>
        <v>2.1508379888268156</v>
      </c>
    </row>
    <row r="133" spans="1:8" x14ac:dyDescent="0.4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9</v>
      </c>
      <c r="H133">
        <f>IFERROR(penguins[[#This Row],[bill_length_mm]]/penguins[[#This Row],[bill_depth_mm]], "")</f>
        <v>2.244791666666667</v>
      </c>
    </row>
    <row r="134" spans="1:8" x14ac:dyDescent="0.4">
      <c r="A134" t="s">
        <v>7</v>
      </c>
      <c r="B134" t="s">
        <v>12</v>
      </c>
      <c r="C134">
        <v>36.799999999999997</v>
      </c>
      <c r="D134">
        <v>18.5</v>
      </c>
      <c r="E134">
        <v>193</v>
      </c>
      <c r="F134">
        <v>3500</v>
      </c>
      <c r="G134" t="s">
        <v>10</v>
      </c>
      <c r="H134">
        <f>IFERROR(penguins[[#This Row],[bill_length_mm]]/penguins[[#This Row],[bill_depth_mm]], "")</f>
        <v>1.9891891891891891</v>
      </c>
    </row>
    <row r="135" spans="1:8" x14ac:dyDescent="0.4">
      <c r="A135" t="s">
        <v>7</v>
      </c>
      <c r="B135" t="s">
        <v>12</v>
      </c>
      <c r="C135">
        <v>37.5</v>
      </c>
      <c r="D135">
        <v>18.5</v>
      </c>
      <c r="E135">
        <v>199</v>
      </c>
      <c r="F135">
        <v>4475</v>
      </c>
      <c r="G135" t="s">
        <v>9</v>
      </c>
      <c r="H135">
        <f>IFERROR(penguins[[#This Row],[bill_length_mm]]/penguins[[#This Row],[bill_depth_mm]], "")</f>
        <v>2.0270270270270272</v>
      </c>
    </row>
    <row r="136" spans="1:8" x14ac:dyDescent="0.4">
      <c r="A136" t="s">
        <v>7</v>
      </c>
      <c r="B136" t="s">
        <v>12</v>
      </c>
      <c r="C136">
        <v>38.1</v>
      </c>
      <c r="D136">
        <v>17.600000000000001</v>
      </c>
      <c r="E136">
        <v>187</v>
      </c>
      <c r="F136">
        <v>3425</v>
      </c>
      <c r="G136" t="s">
        <v>10</v>
      </c>
      <c r="H136">
        <f>IFERROR(penguins[[#This Row],[bill_length_mm]]/penguins[[#This Row],[bill_depth_mm]], "")</f>
        <v>2.1647727272727271</v>
      </c>
    </row>
    <row r="137" spans="1:8" x14ac:dyDescent="0.4">
      <c r="A137" t="s">
        <v>7</v>
      </c>
      <c r="B137" t="s">
        <v>12</v>
      </c>
      <c r="C137">
        <v>41.1</v>
      </c>
      <c r="D137">
        <v>17.5</v>
      </c>
      <c r="E137">
        <v>190</v>
      </c>
      <c r="F137">
        <v>3900</v>
      </c>
      <c r="G137" t="s">
        <v>9</v>
      </c>
      <c r="H137">
        <f>IFERROR(penguins[[#This Row],[bill_length_mm]]/penguins[[#This Row],[bill_depth_mm]], "")</f>
        <v>2.3485714285714288</v>
      </c>
    </row>
    <row r="138" spans="1:8" x14ac:dyDescent="0.4">
      <c r="A138" t="s">
        <v>7</v>
      </c>
      <c r="B138" t="s">
        <v>12</v>
      </c>
      <c r="C138">
        <v>35.6</v>
      </c>
      <c r="D138">
        <v>17.5</v>
      </c>
      <c r="E138">
        <v>191</v>
      </c>
      <c r="F138">
        <v>3175</v>
      </c>
      <c r="G138" t="s">
        <v>10</v>
      </c>
      <c r="H138">
        <f>IFERROR(penguins[[#This Row],[bill_length_mm]]/penguins[[#This Row],[bill_depth_mm]], "")</f>
        <v>2.0342857142857143</v>
      </c>
    </row>
    <row r="139" spans="1:8" x14ac:dyDescent="0.4">
      <c r="A139" t="s">
        <v>7</v>
      </c>
      <c r="B139" t="s">
        <v>12</v>
      </c>
      <c r="C139">
        <v>40.200000000000003</v>
      </c>
      <c r="D139">
        <v>20.100000000000001</v>
      </c>
      <c r="E139">
        <v>200</v>
      </c>
      <c r="F139">
        <v>3975</v>
      </c>
      <c r="G139" t="s">
        <v>9</v>
      </c>
      <c r="H139">
        <f>IFERROR(penguins[[#This Row],[bill_length_mm]]/penguins[[#This Row],[bill_depth_mm]], "")</f>
        <v>2</v>
      </c>
    </row>
    <row r="140" spans="1:8" x14ac:dyDescent="0.4">
      <c r="A140" t="s">
        <v>7</v>
      </c>
      <c r="B140" t="s">
        <v>12</v>
      </c>
      <c r="C140">
        <v>37</v>
      </c>
      <c r="D140">
        <v>16.5</v>
      </c>
      <c r="E140">
        <v>185</v>
      </c>
      <c r="F140">
        <v>3400</v>
      </c>
      <c r="G140" t="s">
        <v>10</v>
      </c>
      <c r="H140">
        <f>IFERROR(penguins[[#This Row],[bill_length_mm]]/penguins[[#This Row],[bill_depth_mm]], "")</f>
        <v>2.2424242424242422</v>
      </c>
    </row>
    <row r="141" spans="1:8" x14ac:dyDescent="0.4">
      <c r="A141" t="s">
        <v>7</v>
      </c>
      <c r="B141" t="s">
        <v>12</v>
      </c>
      <c r="C141">
        <v>39.700000000000003</v>
      </c>
      <c r="D141">
        <v>17.899999999999999</v>
      </c>
      <c r="E141">
        <v>193</v>
      </c>
      <c r="F141">
        <v>4250</v>
      </c>
      <c r="G141" t="s">
        <v>9</v>
      </c>
      <c r="H141">
        <f>IFERROR(penguins[[#This Row],[bill_length_mm]]/penguins[[#This Row],[bill_depth_mm]], "")</f>
        <v>2.2178770949720672</v>
      </c>
    </row>
    <row r="142" spans="1:8" x14ac:dyDescent="0.4">
      <c r="A142" t="s">
        <v>7</v>
      </c>
      <c r="B142" t="s">
        <v>12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10</v>
      </c>
      <c r="H142">
        <f>IFERROR(penguins[[#This Row],[bill_length_mm]]/penguins[[#This Row],[bill_depth_mm]], "")</f>
        <v>2.3508771929824559</v>
      </c>
    </row>
    <row r="143" spans="1:8" x14ac:dyDescent="0.4">
      <c r="A143" t="s">
        <v>7</v>
      </c>
      <c r="B143" t="s">
        <v>12</v>
      </c>
      <c r="C143">
        <v>40.6</v>
      </c>
      <c r="D143">
        <v>17.2</v>
      </c>
      <c r="E143">
        <v>187</v>
      </c>
      <c r="F143">
        <v>3475</v>
      </c>
      <c r="G143" t="s">
        <v>9</v>
      </c>
      <c r="H143">
        <f>IFERROR(penguins[[#This Row],[bill_length_mm]]/penguins[[#This Row],[bill_depth_mm]], "")</f>
        <v>2.36046511627907</v>
      </c>
    </row>
    <row r="144" spans="1:8" x14ac:dyDescent="0.4">
      <c r="A144" t="s">
        <v>7</v>
      </c>
      <c r="B144" t="s">
        <v>12</v>
      </c>
      <c r="C144">
        <v>32.1</v>
      </c>
      <c r="D144">
        <v>15.5</v>
      </c>
      <c r="E144">
        <v>188</v>
      </c>
      <c r="F144">
        <v>3050</v>
      </c>
      <c r="G144" t="s">
        <v>10</v>
      </c>
      <c r="H144">
        <f>IFERROR(penguins[[#This Row],[bill_length_mm]]/penguins[[#This Row],[bill_depth_mm]], "")</f>
        <v>2.0709677419354842</v>
      </c>
    </row>
    <row r="145" spans="1:8" x14ac:dyDescent="0.4">
      <c r="A145" t="s">
        <v>7</v>
      </c>
      <c r="B145" t="s">
        <v>12</v>
      </c>
      <c r="C145">
        <v>40.700000000000003</v>
      </c>
      <c r="D145">
        <v>17</v>
      </c>
      <c r="E145">
        <v>190</v>
      </c>
      <c r="F145">
        <v>3725</v>
      </c>
      <c r="G145" t="s">
        <v>9</v>
      </c>
      <c r="H145">
        <f>IFERROR(penguins[[#This Row],[bill_length_mm]]/penguins[[#This Row],[bill_depth_mm]], "")</f>
        <v>2.3941176470588239</v>
      </c>
    </row>
    <row r="146" spans="1:8" x14ac:dyDescent="0.4">
      <c r="A146" t="s">
        <v>7</v>
      </c>
      <c r="B146" t="s">
        <v>12</v>
      </c>
      <c r="C146">
        <v>37.299999999999997</v>
      </c>
      <c r="D146">
        <v>16.8</v>
      </c>
      <c r="E146">
        <v>192</v>
      </c>
      <c r="F146">
        <v>3000</v>
      </c>
      <c r="G146" t="s">
        <v>10</v>
      </c>
      <c r="H146">
        <f>IFERROR(penguins[[#This Row],[bill_length_mm]]/penguins[[#This Row],[bill_depth_mm]], "")</f>
        <v>2.2202380952380949</v>
      </c>
    </row>
    <row r="147" spans="1:8" x14ac:dyDescent="0.4">
      <c r="A147" t="s">
        <v>7</v>
      </c>
      <c r="B147" t="s">
        <v>12</v>
      </c>
      <c r="C147">
        <v>39</v>
      </c>
      <c r="D147">
        <v>18.7</v>
      </c>
      <c r="E147">
        <v>185</v>
      </c>
      <c r="F147">
        <v>3650</v>
      </c>
      <c r="G147" t="s">
        <v>9</v>
      </c>
      <c r="H147">
        <f>IFERROR(penguins[[#This Row],[bill_length_mm]]/penguins[[#This Row],[bill_depth_mm]], "")</f>
        <v>2.0855614973262031</v>
      </c>
    </row>
    <row r="148" spans="1:8" x14ac:dyDescent="0.4">
      <c r="A148" t="s">
        <v>7</v>
      </c>
      <c r="B148" t="s">
        <v>12</v>
      </c>
      <c r="C148">
        <v>39.200000000000003</v>
      </c>
      <c r="D148">
        <v>18.600000000000001</v>
      </c>
      <c r="E148">
        <v>190</v>
      </c>
      <c r="F148">
        <v>4250</v>
      </c>
      <c r="G148" t="s">
        <v>9</v>
      </c>
      <c r="H148">
        <f>IFERROR(penguins[[#This Row],[bill_length_mm]]/penguins[[#This Row],[bill_depth_mm]], "")</f>
        <v>2.10752688172043</v>
      </c>
    </row>
    <row r="149" spans="1:8" x14ac:dyDescent="0.4">
      <c r="A149" t="s">
        <v>7</v>
      </c>
      <c r="B149" t="s">
        <v>12</v>
      </c>
      <c r="C149">
        <v>36.6</v>
      </c>
      <c r="D149">
        <v>18.399999999999999</v>
      </c>
      <c r="E149">
        <v>184</v>
      </c>
      <c r="F149">
        <v>3475</v>
      </c>
      <c r="G149" t="s">
        <v>10</v>
      </c>
      <c r="H149">
        <f>IFERROR(penguins[[#This Row],[bill_length_mm]]/penguins[[#This Row],[bill_depth_mm]], "")</f>
        <v>1.9891304347826089</v>
      </c>
    </row>
    <row r="150" spans="1:8" x14ac:dyDescent="0.4">
      <c r="A150" t="s">
        <v>7</v>
      </c>
      <c r="B150" t="s">
        <v>12</v>
      </c>
      <c r="C150">
        <v>36</v>
      </c>
      <c r="D150">
        <v>17.8</v>
      </c>
      <c r="E150">
        <v>195</v>
      </c>
      <c r="F150">
        <v>3450</v>
      </c>
      <c r="G150" t="s">
        <v>10</v>
      </c>
      <c r="H150">
        <f>IFERROR(penguins[[#This Row],[bill_length_mm]]/penguins[[#This Row],[bill_depth_mm]], "")</f>
        <v>2.0224719101123596</v>
      </c>
    </row>
    <row r="151" spans="1:8" x14ac:dyDescent="0.4">
      <c r="A151" t="s">
        <v>7</v>
      </c>
      <c r="B151" t="s">
        <v>12</v>
      </c>
      <c r="C151">
        <v>37.799999999999997</v>
      </c>
      <c r="D151">
        <v>18.100000000000001</v>
      </c>
      <c r="E151">
        <v>193</v>
      </c>
      <c r="F151">
        <v>3750</v>
      </c>
      <c r="G151" t="s">
        <v>9</v>
      </c>
      <c r="H151">
        <f>IFERROR(penguins[[#This Row],[bill_length_mm]]/penguins[[#This Row],[bill_depth_mm]], "")</f>
        <v>2.0883977900552484</v>
      </c>
    </row>
    <row r="152" spans="1:8" x14ac:dyDescent="0.4">
      <c r="A152" t="s">
        <v>7</v>
      </c>
      <c r="B152" t="s">
        <v>12</v>
      </c>
      <c r="C152">
        <v>36</v>
      </c>
      <c r="D152">
        <v>17.100000000000001</v>
      </c>
      <c r="E152">
        <v>187</v>
      </c>
      <c r="F152">
        <v>3700</v>
      </c>
      <c r="G152" t="s">
        <v>10</v>
      </c>
      <c r="H152">
        <f>IFERROR(penguins[[#This Row],[bill_length_mm]]/penguins[[#This Row],[bill_depth_mm]], "")</f>
        <v>2.1052631578947367</v>
      </c>
    </row>
    <row r="153" spans="1:8" x14ac:dyDescent="0.4">
      <c r="A153" t="s">
        <v>7</v>
      </c>
      <c r="B153" t="s">
        <v>12</v>
      </c>
      <c r="C153">
        <v>41.5</v>
      </c>
      <c r="D153">
        <v>18.5</v>
      </c>
      <c r="E153">
        <v>201</v>
      </c>
      <c r="F153">
        <v>4000</v>
      </c>
      <c r="G153" t="s">
        <v>9</v>
      </c>
      <c r="H153">
        <f>IFERROR(penguins[[#This Row],[bill_length_mm]]/penguins[[#This Row],[bill_depth_mm]], "")</f>
        <v>2.2432432432432434</v>
      </c>
    </row>
    <row r="154" spans="1:8" x14ac:dyDescent="0.4">
      <c r="A154" t="s">
        <v>13</v>
      </c>
      <c r="B154" t="s">
        <v>12</v>
      </c>
      <c r="C154">
        <v>46.5</v>
      </c>
      <c r="D154">
        <v>17.899999999999999</v>
      </c>
      <c r="E154">
        <v>192</v>
      </c>
      <c r="F154">
        <v>3500</v>
      </c>
      <c r="G154" t="s">
        <v>10</v>
      </c>
      <c r="H154">
        <f>IFERROR(penguins[[#This Row],[bill_length_mm]]/penguins[[#This Row],[bill_depth_mm]], "")</f>
        <v>2.597765363128492</v>
      </c>
    </row>
    <row r="155" spans="1:8" x14ac:dyDescent="0.4">
      <c r="A155" t="s">
        <v>13</v>
      </c>
      <c r="B155" t="s">
        <v>12</v>
      </c>
      <c r="C155">
        <v>50</v>
      </c>
      <c r="D155">
        <v>19.5</v>
      </c>
      <c r="E155">
        <v>196</v>
      </c>
      <c r="F155">
        <v>3900</v>
      </c>
      <c r="G155" t="s">
        <v>9</v>
      </c>
      <c r="H155">
        <f>IFERROR(penguins[[#This Row],[bill_length_mm]]/penguins[[#This Row],[bill_depth_mm]], "")</f>
        <v>2.5641025641025643</v>
      </c>
    </row>
    <row r="156" spans="1:8" x14ac:dyDescent="0.4">
      <c r="A156" t="s">
        <v>13</v>
      </c>
      <c r="B156" t="s">
        <v>12</v>
      </c>
      <c r="C156">
        <v>51.3</v>
      </c>
      <c r="D156">
        <v>19.2</v>
      </c>
      <c r="E156">
        <v>193</v>
      </c>
      <c r="F156">
        <v>3650</v>
      </c>
      <c r="G156" t="s">
        <v>9</v>
      </c>
      <c r="H156">
        <f>IFERROR(penguins[[#This Row],[bill_length_mm]]/penguins[[#This Row],[bill_depth_mm]], "")</f>
        <v>2.671875</v>
      </c>
    </row>
    <row r="157" spans="1:8" x14ac:dyDescent="0.4">
      <c r="A157" t="s">
        <v>13</v>
      </c>
      <c r="B157" t="s">
        <v>12</v>
      </c>
      <c r="C157">
        <v>45.4</v>
      </c>
      <c r="D157">
        <v>18.7</v>
      </c>
      <c r="E157">
        <v>188</v>
      </c>
      <c r="F157">
        <v>3525</v>
      </c>
      <c r="G157" t="s">
        <v>10</v>
      </c>
      <c r="H157">
        <f>IFERROR(penguins[[#This Row],[bill_length_mm]]/penguins[[#This Row],[bill_depth_mm]], "")</f>
        <v>2.427807486631016</v>
      </c>
    </row>
    <row r="158" spans="1:8" x14ac:dyDescent="0.4">
      <c r="A158" t="s">
        <v>13</v>
      </c>
      <c r="B158" t="s">
        <v>12</v>
      </c>
      <c r="C158">
        <v>52.7</v>
      </c>
      <c r="D158">
        <v>19.8</v>
      </c>
      <c r="E158">
        <v>197</v>
      </c>
      <c r="F158">
        <v>3725</v>
      </c>
      <c r="G158" t="s">
        <v>9</v>
      </c>
      <c r="H158">
        <f>IFERROR(penguins[[#This Row],[bill_length_mm]]/penguins[[#This Row],[bill_depth_mm]], "")</f>
        <v>2.6616161616161618</v>
      </c>
    </row>
    <row r="159" spans="1:8" x14ac:dyDescent="0.4">
      <c r="A159" t="s">
        <v>13</v>
      </c>
      <c r="B159" t="s">
        <v>12</v>
      </c>
      <c r="C159">
        <v>45.2</v>
      </c>
      <c r="D159">
        <v>17.8</v>
      </c>
      <c r="E159">
        <v>198</v>
      </c>
      <c r="F159">
        <v>3950</v>
      </c>
      <c r="G159" t="s">
        <v>10</v>
      </c>
      <c r="H159">
        <f>IFERROR(penguins[[#This Row],[bill_length_mm]]/penguins[[#This Row],[bill_depth_mm]], "")</f>
        <v>2.5393258426966292</v>
      </c>
    </row>
    <row r="160" spans="1:8" x14ac:dyDescent="0.4">
      <c r="A160" t="s">
        <v>13</v>
      </c>
      <c r="B160" t="s">
        <v>12</v>
      </c>
      <c r="C160">
        <v>46.1</v>
      </c>
      <c r="D160">
        <v>18.2</v>
      </c>
      <c r="E160">
        <v>178</v>
      </c>
      <c r="F160">
        <v>3250</v>
      </c>
      <c r="G160" t="s">
        <v>10</v>
      </c>
      <c r="H160">
        <f>IFERROR(penguins[[#This Row],[bill_length_mm]]/penguins[[#This Row],[bill_depth_mm]], "")</f>
        <v>2.5329670329670333</v>
      </c>
    </row>
    <row r="161" spans="1:8" x14ac:dyDescent="0.4">
      <c r="A161" t="s">
        <v>13</v>
      </c>
      <c r="B161" t="s">
        <v>12</v>
      </c>
      <c r="C161">
        <v>51.3</v>
      </c>
      <c r="D161">
        <v>18.2</v>
      </c>
      <c r="E161">
        <v>197</v>
      </c>
      <c r="F161">
        <v>3750</v>
      </c>
      <c r="G161" t="s">
        <v>9</v>
      </c>
      <c r="H161">
        <f>IFERROR(penguins[[#This Row],[bill_length_mm]]/penguins[[#This Row],[bill_depth_mm]], "")</f>
        <v>2.8186813186813184</v>
      </c>
    </row>
    <row r="162" spans="1:8" x14ac:dyDescent="0.4">
      <c r="A162" t="s">
        <v>13</v>
      </c>
      <c r="B162" t="s">
        <v>12</v>
      </c>
      <c r="C162">
        <v>46</v>
      </c>
      <c r="D162">
        <v>18.899999999999999</v>
      </c>
      <c r="E162">
        <v>195</v>
      </c>
      <c r="F162">
        <v>4150</v>
      </c>
      <c r="G162" t="s">
        <v>10</v>
      </c>
      <c r="H162">
        <f>IFERROR(penguins[[#This Row],[bill_length_mm]]/penguins[[#This Row],[bill_depth_mm]], "")</f>
        <v>2.4338624338624339</v>
      </c>
    </row>
    <row r="163" spans="1:8" x14ac:dyDescent="0.4">
      <c r="A163" t="s">
        <v>13</v>
      </c>
      <c r="B163" t="s">
        <v>12</v>
      </c>
      <c r="C163">
        <v>51.3</v>
      </c>
      <c r="D163">
        <v>19.899999999999999</v>
      </c>
      <c r="E163">
        <v>198</v>
      </c>
      <c r="F163">
        <v>3700</v>
      </c>
      <c r="G163" t="s">
        <v>9</v>
      </c>
      <c r="H163">
        <f>IFERROR(penguins[[#This Row],[bill_length_mm]]/penguins[[#This Row],[bill_depth_mm]], "")</f>
        <v>2.5778894472361809</v>
      </c>
    </row>
    <row r="164" spans="1:8" x14ac:dyDescent="0.4">
      <c r="A164" t="s">
        <v>13</v>
      </c>
      <c r="B164" t="s">
        <v>12</v>
      </c>
      <c r="C164">
        <v>46.6</v>
      </c>
      <c r="D164">
        <v>17.8</v>
      </c>
      <c r="E164">
        <v>193</v>
      </c>
      <c r="F164">
        <v>3800</v>
      </c>
      <c r="G164" t="s">
        <v>10</v>
      </c>
      <c r="H164">
        <f>IFERROR(penguins[[#This Row],[bill_length_mm]]/penguins[[#This Row],[bill_depth_mm]], "")</f>
        <v>2.6179775280898876</v>
      </c>
    </row>
    <row r="165" spans="1:8" x14ac:dyDescent="0.4">
      <c r="A165" t="s">
        <v>13</v>
      </c>
      <c r="B165" t="s">
        <v>12</v>
      </c>
      <c r="C165">
        <v>51.7</v>
      </c>
      <c r="D165">
        <v>20.3</v>
      </c>
      <c r="E165">
        <v>194</v>
      </c>
      <c r="F165">
        <v>3775</v>
      </c>
      <c r="G165" t="s">
        <v>9</v>
      </c>
      <c r="H165">
        <f>IFERROR(penguins[[#This Row],[bill_length_mm]]/penguins[[#This Row],[bill_depth_mm]], "")</f>
        <v>2.5467980295566504</v>
      </c>
    </row>
    <row r="166" spans="1:8" x14ac:dyDescent="0.4">
      <c r="A166" t="s">
        <v>13</v>
      </c>
      <c r="B166" t="s">
        <v>12</v>
      </c>
      <c r="C166">
        <v>47</v>
      </c>
      <c r="D166">
        <v>17.3</v>
      </c>
      <c r="E166">
        <v>185</v>
      </c>
      <c r="F166">
        <v>3700</v>
      </c>
      <c r="G166" t="s">
        <v>10</v>
      </c>
      <c r="H166">
        <f>IFERROR(penguins[[#This Row],[bill_length_mm]]/penguins[[#This Row],[bill_depth_mm]], "")</f>
        <v>2.7167630057803467</v>
      </c>
    </row>
    <row r="167" spans="1:8" x14ac:dyDescent="0.4">
      <c r="A167" t="s">
        <v>13</v>
      </c>
      <c r="B167" t="s">
        <v>12</v>
      </c>
      <c r="C167">
        <v>52</v>
      </c>
      <c r="D167">
        <v>18.100000000000001</v>
      </c>
      <c r="E167">
        <v>201</v>
      </c>
      <c r="F167">
        <v>4050</v>
      </c>
      <c r="G167" t="s">
        <v>9</v>
      </c>
      <c r="H167">
        <f>IFERROR(penguins[[#This Row],[bill_length_mm]]/penguins[[#This Row],[bill_depth_mm]], "")</f>
        <v>2.8729281767955799</v>
      </c>
    </row>
    <row r="168" spans="1:8" x14ac:dyDescent="0.4">
      <c r="A168" t="s">
        <v>13</v>
      </c>
      <c r="B168" t="s">
        <v>12</v>
      </c>
      <c r="C168">
        <v>45.9</v>
      </c>
      <c r="D168">
        <v>17.100000000000001</v>
      </c>
      <c r="E168">
        <v>190</v>
      </c>
      <c r="F168">
        <v>3575</v>
      </c>
      <c r="G168" t="s">
        <v>10</v>
      </c>
      <c r="H168">
        <f>IFERROR(penguins[[#This Row],[bill_length_mm]]/penguins[[#This Row],[bill_depth_mm]], "")</f>
        <v>2.6842105263157894</v>
      </c>
    </row>
    <row r="169" spans="1:8" x14ac:dyDescent="0.4">
      <c r="A169" t="s">
        <v>13</v>
      </c>
      <c r="B169" t="s">
        <v>12</v>
      </c>
      <c r="C169">
        <v>50.5</v>
      </c>
      <c r="D169">
        <v>19.600000000000001</v>
      </c>
      <c r="E169">
        <v>201</v>
      </c>
      <c r="F169">
        <v>4050</v>
      </c>
      <c r="G169" t="s">
        <v>9</v>
      </c>
      <c r="H169">
        <f>IFERROR(penguins[[#This Row],[bill_length_mm]]/penguins[[#This Row],[bill_depth_mm]], "")</f>
        <v>2.5765306122448979</v>
      </c>
    </row>
    <row r="170" spans="1:8" x14ac:dyDescent="0.4">
      <c r="A170" t="s">
        <v>13</v>
      </c>
      <c r="B170" t="s">
        <v>12</v>
      </c>
      <c r="C170">
        <v>50.3</v>
      </c>
      <c r="D170">
        <v>20</v>
      </c>
      <c r="E170">
        <v>197</v>
      </c>
      <c r="F170">
        <v>3300</v>
      </c>
      <c r="G170" t="s">
        <v>9</v>
      </c>
      <c r="H170">
        <f>IFERROR(penguins[[#This Row],[bill_length_mm]]/penguins[[#This Row],[bill_depth_mm]], "")</f>
        <v>2.5149999999999997</v>
      </c>
    </row>
    <row r="171" spans="1:8" x14ac:dyDescent="0.4">
      <c r="A171" t="s">
        <v>13</v>
      </c>
      <c r="B171" t="s">
        <v>12</v>
      </c>
      <c r="C171">
        <v>58</v>
      </c>
      <c r="D171">
        <v>17.8</v>
      </c>
      <c r="E171">
        <v>181</v>
      </c>
      <c r="F171">
        <v>3700</v>
      </c>
      <c r="G171" t="s">
        <v>10</v>
      </c>
      <c r="H171">
        <f>IFERROR(penguins[[#This Row],[bill_length_mm]]/penguins[[#This Row],[bill_depth_mm]], "")</f>
        <v>3.2584269662921348</v>
      </c>
    </row>
    <row r="172" spans="1:8" x14ac:dyDescent="0.4">
      <c r="A172" t="s">
        <v>13</v>
      </c>
      <c r="B172" t="s">
        <v>12</v>
      </c>
      <c r="C172">
        <v>46.4</v>
      </c>
      <c r="D172">
        <v>18.600000000000001</v>
      </c>
      <c r="E172">
        <v>190</v>
      </c>
      <c r="F172">
        <v>3450</v>
      </c>
      <c r="G172" t="s">
        <v>10</v>
      </c>
      <c r="H172">
        <f>IFERROR(penguins[[#This Row],[bill_length_mm]]/penguins[[#This Row],[bill_depth_mm]], "")</f>
        <v>2.4946236559139781</v>
      </c>
    </row>
    <row r="173" spans="1:8" x14ac:dyDescent="0.4">
      <c r="A173" t="s">
        <v>13</v>
      </c>
      <c r="B173" t="s">
        <v>12</v>
      </c>
      <c r="C173">
        <v>49.2</v>
      </c>
      <c r="D173">
        <v>18.2</v>
      </c>
      <c r="E173">
        <v>195</v>
      </c>
      <c r="F173">
        <v>4400</v>
      </c>
      <c r="G173" t="s">
        <v>9</v>
      </c>
      <c r="H173">
        <f>IFERROR(penguins[[#This Row],[bill_length_mm]]/penguins[[#This Row],[bill_depth_mm]], "")</f>
        <v>2.7032967032967035</v>
      </c>
    </row>
    <row r="174" spans="1:8" x14ac:dyDescent="0.4">
      <c r="A174" t="s">
        <v>13</v>
      </c>
      <c r="B174" t="s">
        <v>12</v>
      </c>
      <c r="C174">
        <v>42.4</v>
      </c>
      <c r="D174">
        <v>17.3</v>
      </c>
      <c r="E174">
        <v>181</v>
      </c>
      <c r="F174">
        <v>3600</v>
      </c>
      <c r="G174" t="s">
        <v>10</v>
      </c>
      <c r="H174">
        <f>IFERROR(penguins[[#This Row],[bill_length_mm]]/penguins[[#This Row],[bill_depth_mm]], "")</f>
        <v>2.4508670520231211</v>
      </c>
    </row>
    <row r="175" spans="1:8" x14ac:dyDescent="0.4">
      <c r="A175" t="s">
        <v>13</v>
      </c>
      <c r="B175" t="s">
        <v>12</v>
      </c>
      <c r="C175">
        <v>48.5</v>
      </c>
      <c r="D175">
        <v>17.5</v>
      </c>
      <c r="E175">
        <v>191</v>
      </c>
      <c r="F175">
        <v>3400</v>
      </c>
      <c r="G175" t="s">
        <v>9</v>
      </c>
      <c r="H175">
        <f>IFERROR(penguins[[#This Row],[bill_length_mm]]/penguins[[#This Row],[bill_depth_mm]], "")</f>
        <v>2.7714285714285714</v>
      </c>
    </row>
    <row r="176" spans="1:8" x14ac:dyDescent="0.4">
      <c r="A176" t="s">
        <v>13</v>
      </c>
      <c r="B176" t="s">
        <v>12</v>
      </c>
      <c r="C176">
        <v>43.2</v>
      </c>
      <c r="D176">
        <v>16.600000000000001</v>
      </c>
      <c r="E176">
        <v>187</v>
      </c>
      <c r="F176">
        <v>2900</v>
      </c>
      <c r="G176" t="s">
        <v>10</v>
      </c>
      <c r="H176">
        <f>IFERROR(penguins[[#This Row],[bill_length_mm]]/penguins[[#This Row],[bill_depth_mm]], "")</f>
        <v>2.6024096385542168</v>
      </c>
    </row>
    <row r="177" spans="1:8" x14ac:dyDescent="0.4">
      <c r="A177" t="s">
        <v>13</v>
      </c>
      <c r="B177" t="s">
        <v>12</v>
      </c>
      <c r="C177">
        <v>50.6</v>
      </c>
      <c r="D177">
        <v>19.399999999999999</v>
      </c>
      <c r="E177">
        <v>193</v>
      </c>
      <c r="F177">
        <v>3800</v>
      </c>
      <c r="G177" t="s">
        <v>9</v>
      </c>
      <c r="H177">
        <f>IFERROR(penguins[[#This Row],[bill_length_mm]]/penguins[[#This Row],[bill_depth_mm]], "")</f>
        <v>2.6082474226804124</v>
      </c>
    </row>
    <row r="178" spans="1:8" x14ac:dyDescent="0.4">
      <c r="A178" t="s">
        <v>13</v>
      </c>
      <c r="B178" t="s">
        <v>12</v>
      </c>
      <c r="C178">
        <v>46.7</v>
      </c>
      <c r="D178">
        <v>17.899999999999999</v>
      </c>
      <c r="E178">
        <v>195</v>
      </c>
      <c r="F178">
        <v>3300</v>
      </c>
      <c r="G178" t="s">
        <v>10</v>
      </c>
      <c r="H178">
        <f>IFERROR(penguins[[#This Row],[bill_length_mm]]/penguins[[#This Row],[bill_depth_mm]], "")</f>
        <v>2.608938547486034</v>
      </c>
    </row>
    <row r="179" spans="1:8" x14ac:dyDescent="0.4">
      <c r="A179" t="s">
        <v>13</v>
      </c>
      <c r="B179" t="s">
        <v>12</v>
      </c>
      <c r="C179">
        <v>52</v>
      </c>
      <c r="D179">
        <v>19</v>
      </c>
      <c r="E179">
        <v>197</v>
      </c>
      <c r="F179">
        <v>4150</v>
      </c>
      <c r="G179" t="s">
        <v>9</v>
      </c>
      <c r="H179">
        <f>IFERROR(penguins[[#This Row],[bill_length_mm]]/penguins[[#This Row],[bill_depth_mm]], "")</f>
        <v>2.736842105263158</v>
      </c>
    </row>
    <row r="180" spans="1:8" x14ac:dyDescent="0.4">
      <c r="A180" t="s">
        <v>13</v>
      </c>
      <c r="B180" t="s">
        <v>12</v>
      </c>
      <c r="C180">
        <v>50.5</v>
      </c>
      <c r="D180">
        <v>18.399999999999999</v>
      </c>
      <c r="E180">
        <v>200</v>
      </c>
      <c r="F180">
        <v>3400</v>
      </c>
      <c r="G180" t="s">
        <v>10</v>
      </c>
      <c r="H180">
        <f>IFERROR(penguins[[#This Row],[bill_length_mm]]/penguins[[#This Row],[bill_depth_mm]], "")</f>
        <v>2.7445652173913047</v>
      </c>
    </row>
    <row r="181" spans="1:8" x14ac:dyDescent="0.4">
      <c r="A181" t="s">
        <v>13</v>
      </c>
      <c r="B181" t="s">
        <v>12</v>
      </c>
      <c r="C181">
        <v>49.5</v>
      </c>
      <c r="D181">
        <v>19</v>
      </c>
      <c r="E181">
        <v>200</v>
      </c>
      <c r="F181">
        <v>3800</v>
      </c>
      <c r="G181" t="s">
        <v>9</v>
      </c>
      <c r="H181">
        <f>IFERROR(penguins[[#This Row],[bill_length_mm]]/penguins[[#This Row],[bill_depth_mm]], "")</f>
        <v>2.6052631578947367</v>
      </c>
    </row>
    <row r="182" spans="1:8" x14ac:dyDescent="0.4">
      <c r="A182" t="s">
        <v>13</v>
      </c>
      <c r="B182" t="s">
        <v>12</v>
      </c>
      <c r="C182">
        <v>46.4</v>
      </c>
      <c r="D182">
        <v>17.8</v>
      </c>
      <c r="E182">
        <v>191</v>
      </c>
      <c r="F182">
        <v>3700</v>
      </c>
      <c r="G182" t="s">
        <v>10</v>
      </c>
      <c r="H182">
        <f>IFERROR(penguins[[#This Row],[bill_length_mm]]/penguins[[#This Row],[bill_depth_mm]], "")</f>
        <v>2.6067415730337076</v>
      </c>
    </row>
    <row r="183" spans="1:8" x14ac:dyDescent="0.4">
      <c r="A183" t="s">
        <v>13</v>
      </c>
      <c r="B183" t="s">
        <v>12</v>
      </c>
      <c r="C183">
        <v>52.8</v>
      </c>
      <c r="D183">
        <v>20</v>
      </c>
      <c r="E183">
        <v>205</v>
      </c>
      <c r="F183">
        <v>4550</v>
      </c>
      <c r="G183" t="s">
        <v>9</v>
      </c>
      <c r="H183">
        <f>IFERROR(penguins[[#This Row],[bill_length_mm]]/penguins[[#This Row],[bill_depth_mm]], "")</f>
        <v>2.6399999999999997</v>
      </c>
    </row>
    <row r="184" spans="1:8" x14ac:dyDescent="0.4">
      <c r="A184" t="s">
        <v>13</v>
      </c>
      <c r="B184" t="s">
        <v>12</v>
      </c>
      <c r="C184">
        <v>40.9</v>
      </c>
      <c r="D184">
        <v>16.600000000000001</v>
      </c>
      <c r="E184">
        <v>187</v>
      </c>
      <c r="F184">
        <v>3200</v>
      </c>
      <c r="G184" t="s">
        <v>10</v>
      </c>
      <c r="H184">
        <f>IFERROR(penguins[[#This Row],[bill_length_mm]]/penguins[[#This Row],[bill_depth_mm]], "")</f>
        <v>2.4638554216867465</v>
      </c>
    </row>
    <row r="185" spans="1:8" x14ac:dyDescent="0.4">
      <c r="A185" t="s">
        <v>13</v>
      </c>
      <c r="B185" t="s">
        <v>12</v>
      </c>
      <c r="C185">
        <v>54.2</v>
      </c>
      <c r="D185">
        <v>20.8</v>
      </c>
      <c r="E185">
        <v>201</v>
      </c>
      <c r="F185">
        <v>4300</v>
      </c>
      <c r="G185" t="s">
        <v>9</v>
      </c>
      <c r="H185">
        <f>IFERROR(penguins[[#This Row],[bill_length_mm]]/penguins[[#This Row],[bill_depth_mm]], "")</f>
        <v>2.6057692307692308</v>
      </c>
    </row>
    <row r="186" spans="1:8" x14ac:dyDescent="0.4">
      <c r="A186" t="s">
        <v>13</v>
      </c>
      <c r="B186" t="s">
        <v>12</v>
      </c>
      <c r="C186">
        <v>42.5</v>
      </c>
      <c r="D186">
        <v>16.7</v>
      </c>
      <c r="E186">
        <v>187</v>
      </c>
      <c r="F186">
        <v>3350</v>
      </c>
      <c r="G186" t="s">
        <v>10</v>
      </c>
      <c r="H186">
        <f>IFERROR(penguins[[#This Row],[bill_length_mm]]/penguins[[#This Row],[bill_depth_mm]], "")</f>
        <v>2.5449101796407185</v>
      </c>
    </row>
    <row r="187" spans="1:8" x14ac:dyDescent="0.4">
      <c r="A187" t="s">
        <v>13</v>
      </c>
      <c r="B187" t="s">
        <v>12</v>
      </c>
      <c r="C187">
        <v>51</v>
      </c>
      <c r="D187">
        <v>18.8</v>
      </c>
      <c r="E187">
        <v>203</v>
      </c>
      <c r="F187">
        <v>4100</v>
      </c>
      <c r="G187" t="s">
        <v>9</v>
      </c>
      <c r="H187">
        <f>IFERROR(penguins[[#This Row],[bill_length_mm]]/penguins[[#This Row],[bill_depth_mm]], "")</f>
        <v>2.7127659574468086</v>
      </c>
    </row>
    <row r="188" spans="1:8" x14ac:dyDescent="0.4">
      <c r="A188" t="s">
        <v>13</v>
      </c>
      <c r="B188" t="s">
        <v>12</v>
      </c>
      <c r="C188">
        <v>49.7</v>
      </c>
      <c r="D188">
        <v>18.600000000000001</v>
      </c>
      <c r="E188">
        <v>195</v>
      </c>
      <c r="F188">
        <v>3600</v>
      </c>
      <c r="G188" t="s">
        <v>9</v>
      </c>
      <c r="H188">
        <f>IFERROR(penguins[[#This Row],[bill_length_mm]]/penguins[[#This Row],[bill_depth_mm]], "")</f>
        <v>2.672043010752688</v>
      </c>
    </row>
    <row r="189" spans="1:8" x14ac:dyDescent="0.4">
      <c r="A189" t="s">
        <v>13</v>
      </c>
      <c r="B189" t="s">
        <v>12</v>
      </c>
      <c r="C189">
        <v>47.5</v>
      </c>
      <c r="D189">
        <v>16.8</v>
      </c>
      <c r="E189">
        <v>199</v>
      </c>
      <c r="F189">
        <v>3900</v>
      </c>
      <c r="G189" t="s">
        <v>10</v>
      </c>
      <c r="H189">
        <f>IFERROR(penguins[[#This Row],[bill_length_mm]]/penguins[[#This Row],[bill_depth_mm]], "")</f>
        <v>2.8273809523809521</v>
      </c>
    </row>
    <row r="190" spans="1:8" x14ac:dyDescent="0.4">
      <c r="A190" t="s">
        <v>13</v>
      </c>
      <c r="B190" t="s">
        <v>12</v>
      </c>
      <c r="C190">
        <v>47.6</v>
      </c>
      <c r="D190">
        <v>18.3</v>
      </c>
      <c r="E190">
        <v>195</v>
      </c>
      <c r="F190">
        <v>3850</v>
      </c>
      <c r="G190" t="s">
        <v>10</v>
      </c>
      <c r="H190">
        <f>IFERROR(penguins[[#This Row],[bill_length_mm]]/penguins[[#This Row],[bill_depth_mm]], "")</f>
        <v>2.6010928961748632</v>
      </c>
    </row>
    <row r="191" spans="1:8" x14ac:dyDescent="0.4">
      <c r="A191" t="s">
        <v>13</v>
      </c>
      <c r="B191" t="s">
        <v>12</v>
      </c>
      <c r="C191">
        <v>52</v>
      </c>
      <c r="D191">
        <v>20.7</v>
      </c>
      <c r="E191">
        <v>210</v>
      </c>
      <c r="F191">
        <v>4800</v>
      </c>
      <c r="G191" t="s">
        <v>9</v>
      </c>
      <c r="H191">
        <f>IFERROR(penguins[[#This Row],[bill_length_mm]]/penguins[[#This Row],[bill_depth_mm]], "")</f>
        <v>2.5120772946859904</v>
      </c>
    </row>
    <row r="192" spans="1:8" x14ac:dyDescent="0.4">
      <c r="A192" t="s">
        <v>13</v>
      </c>
      <c r="B192" t="s">
        <v>12</v>
      </c>
      <c r="C192">
        <v>46.9</v>
      </c>
      <c r="D192">
        <v>16.600000000000001</v>
      </c>
      <c r="E192">
        <v>192</v>
      </c>
      <c r="F192">
        <v>2700</v>
      </c>
      <c r="G192" t="s">
        <v>10</v>
      </c>
      <c r="H192">
        <f>IFERROR(penguins[[#This Row],[bill_length_mm]]/penguins[[#This Row],[bill_depth_mm]], "")</f>
        <v>2.8253012048192767</v>
      </c>
    </row>
    <row r="193" spans="1:8" x14ac:dyDescent="0.4">
      <c r="A193" t="s">
        <v>13</v>
      </c>
      <c r="B193" t="s">
        <v>12</v>
      </c>
      <c r="C193">
        <v>53.5</v>
      </c>
      <c r="D193">
        <v>19.899999999999999</v>
      </c>
      <c r="E193">
        <v>205</v>
      </c>
      <c r="F193">
        <v>4500</v>
      </c>
      <c r="G193" t="s">
        <v>9</v>
      </c>
      <c r="H193">
        <f>IFERROR(penguins[[#This Row],[bill_length_mm]]/penguins[[#This Row],[bill_depth_mm]], "")</f>
        <v>2.6884422110552766</v>
      </c>
    </row>
    <row r="194" spans="1:8" x14ac:dyDescent="0.4">
      <c r="A194" t="s">
        <v>13</v>
      </c>
      <c r="B194" t="s">
        <v>12</v>
      </c>
      <c r="C194">
        <v>49</v>
      </c>
      <c r="D194">
        <v>19.5</v>
      </c>
      <c r="E194">
        <v>210</v>
      </c>
      <c r="F194">
        <v>3950</v>
      </c>
      <c r="G194" t="s">
        <v>9</v>
      </c>
      <c r="H194">
        <f>IFERROR(penguins[[#This Row],[bill_length_mm]]/penguins[[#This Row],[bill_depth_mm]], "")</f>
        <v>2.5128205128205128</v>
      </c>
    </row>
    <row r="195" spans="1:8" x14ac:dyDescent="0.4">
      <c r="A195" t="s">
        <v>13</v>
      </c>
      <c r="B195" t="s">
        <v>12</v>
      </c>
      <c r="C195">
        <v>46.2</v>
      </c>
      <c r="D195">
        <v>17.5</v>
      </c>
      <c r="E195">
        <v>187</v>
      </c>
      <c r="F195">
        <v>3650</v>
      </c>
      <c r="G195" t="s">
        <v>10</v>
      </c>
      <c r="H195">
        <f>IFERROR(penguins[[#This Row],[bill_length_mm]]/penguins[[#This Row],[bill_depth_mm]], "")</f>
        <v>2.64</v>
      </c>
    </row>
    <row r="196" spans="1:8" x14ac:dyDescent="0.4">
      <c r="A196" t="s">
        <v>13</v>
      </c>
      <c r="B196" t="s">
        <v>12</v>
      </c>
      <c r="C196">
        <v>50.9</v>
      </c>
      <c r="D196">
        <v>19.100000000000001</v>
      </c>
      <c r="E196">
        <v>196</v>
      </c>
      <c r="F196">
        <v>3550</v>
      </c>
      <c r="G196" t="s">
        <v>9</v>
      </c>
      <c r="H196">
        <f>IFERROR(penguins[[#This Row],[bill_length_mm]]/penguins[[#This Row],[bill_depth_mm]], "")</f>
        <v>2.664921465968586</v>
      </c>
    </row>
    <row r="197" spans="1:8" x14ac:dyDescent="0.4">
      <c r="A197" t="s">
        <v>13</v>
      </c>
      <c r="B197" t="s">
        <v>12</v>
      </c>
      <c r="C197">
        <v>45.5</v>
      </c>
      <c r="D197">
        <v>17</v>
      </c>
      <c r="E197">
        <v>196</v>
      </c>
      <c r="F197">
        <v>3500</v>
      </c>
      <c r="G197" t="s">
        <v>10</v>
      </c>
      <c r="H197">
        <f>IFERROR(penguins[[#This Row],[bill_length_mm]]/penguins[[#This Row],[bill_depth_mm]], "")</f>
        <v>2.6764705882352939</v>
      </c>
    </row>
    <row r="198" spans="1:8" x14ac:dyDescent="0.4">
      <c r="A198" t="s">
        <v>13</v>
      </c>
      <c r="B198" t="s">
        <v>12</v>
      </c>
      <c r="C198">
        <v>50.9</v>
      </c>
      <c r="D198">
        <v>17.899999999999999</v>
      </c>
      <c r="E198">
        <v>196</v>
      </c>
      <c r="F198">
        <v>3675</v>
      </c>
      <c r="G198" t="s">
        <v>10</v>
      </c>
      <c r="H198">
        <f>IFERROR(penguins[[#This Row],[bill_length_mm]]/penguins[[#This Row],[bill_depth_mm]], "")</f>
        <v>2.8435754189944134</v>
      </c>
    </row>
    <row r="199" spans="1:8" x14ac:dyDescent="0.4">
      <c r="A199" t="s">
        <v>13</v>
      </c>
      <c r="B199" t="s">
        <v>12</v>
      </c>
      <c r="C199">
        <v>50.8</v>
      </c>
      <c r="D199">
        <v>18.5</v>
      </c>
      <c r="E199">
        <v>201</v>
      </c>
      <c r="F199">
        <v>4450</v>
      </c>
      <c r="G199" t="s">
        <v>9</v>
      </c>
      <c r="H199">
        <f>IFERROR(penguins[[#This Row],[bill_length_mm]]/penguins[[#This Row],[bill_depth_mm]], "")</f>
        <v>2.7459459459459459</v>
      </c>
    </row>
    <row r="200" spans="1:8" x14ac:dyDescent="0.4">
      <c r="A200" t="s">
        <v>13</v>
      </c>
      <c r="B200" t="s">
        <v>12</v>
      </c>
      <c r="C200">
        <v>50.1</v>
      </c>
      <c r="D200">
        <v>17.899999999999999</v>
      </c>
      <c r="E200">
        <v>190</v>
      </c>
      <c r="F200">
        <v>3400</v>
      </c>
      <c r="G200" t="s">
        <v>10</v>
      </c>
      <c r="H200">
        <f>IFERROR(penguins[[#This Row],[bill_length_mm]]/penguins[[#This Row],[bill_depth_mm]], "")</f>
        <v>2.7988826815642462</v>
      </c>
    </row>
    <row r="201" spans="1:8" x14ac:dyDescent="0.4">
      <c r="A201" t="s">
        <v>13</v>
      </c>
      <c r="B201" t="s">
        <v>12</v>
      </c>
      <c r="C201">
        <v>49</v>
      </c>
      <c r="D201">
        <v>19.600000000000001</v>
      </c>
      <c r="E201">
        <v>212</v>
      </c>
      <c r="F201">
        <v>4300</v>
      </c>
      <c r="G201" t="s">
        <v>9</v>
      </c>
      <c r="H201">
        <f>IFERROR(penguins[[#This Row],[bill_length_mm]]/penguins[[#This Row],[bill_depth_mm]], "")</f>
        <v>2.5</v>
      </c>
    </row>
    <row r="202" spans="1:8" x14ac:dyDescent="0.4">
      <c r="A202" t="s">
        <v>13</v>
      </c>
      <c r="B202" t="s">
        <v>12</v>
      </c>
      <c r="C202">
        <v>51.5</v>
      </c>
      <c r="D202">
        <v>18.7</v>
      </c>
      <c r="E202">
        <v>187</v>
      </c>
      <c r="F202">
        <v>3250</v>
      </c>
      <c r="G202" t="s">
        <v>9</v>
      </c>
      <c r="H202">
        <f>IFERROR(penguins[[#This Row],[bill_length_mm]]/penguins[[#This Row],[bill_depth_mm]], "")</f>
        <v>2.7540106951871657</v>
      </c>
    </row>
    <row r="203" spans="1:8" x14ac:dyDescent="0.4">
      <c r="A203" t="s">
        <v>13</v>
      </c>
      <c r="B203" t="s">
        <v>12</v>
      </c>
      <c r="C203">
        <v>49.8</v>
      </c>
      <c r="D203">
        <v>17.3</v>
      </c>
      <c r="E203">
        <v>198</v>
      </c>
      <c r="F203">
        <v>3675</v>
      </c>
      <c r="G203" t="s">
        <v>10</v>
      </c>
      <c r="H203">
        <f>IFERROR(penguins[[#This Row],[bill_length_mm]]/penguins[[#This Row],[bill_depth_mm]], "")</f>
        <v>2.8786127167630053</v>
      </c>
    </row>
    <row r="204" spans="1:8" x14ac:dyDescent="0.4">
      <c r="A204" t="s">
        <v>13</v>
      </c>
      <c r="B204" t="s">
        <v>12</v>
      </c>
      <c r="C204">
        <v>48.1</v>
      </c>
      <c r="D204">
        <v>16.399999999999999</v>
      </c>
      <c r="E204">
        <v>199</v>
      </c>
      <c r="F204">
        <v>3325</v>
      </c>
      <c r="G204" t="s">
        <v>10</v>
      </c>
      <c r="H204">
        <f>IFERROR(penguins[[#This Row],[bill_length_mm]]/penguins[[#This Row],[bill_depth_mm]], "")</f>
        <v>2.9329268292682928</v>
      </c>
    </row>
    <row r="205" spans="1:8" x14ac:dyDescent="0.4">
      <c r="A205" t="s">
        <v>13</v>
      </c>
      <c r="B205" t="s">
        <v>12</v>
      </c>
      <c r="C205">
        <v>51.4</v>
      </c>
      <c r="D205">
        <v>19</v>
      </c>
      <c r="E205">
        <v>201</v>
      </c>
      <c r="F205">
        <v>3950</v>
      </c>
      <c r="G205" t="s">
        <v>9</v>
      </c>
      <c r="H205">
        <f>IFERROR(penguins[[#This Row],[bill_length_mm]]/penguins[[#This Row],[bill_depth_mm]], "")</f>
        <v>2.7052631578947368</v>
      </c>
    </row>
    <row r="206" spans="1:8" x14ac:dyDescent="0.4">
      <c r="A206" t="s">
        <v>13</v>
      </c>
      <c r="B206" t="s">
        <v>12</v>
      </c>
      <c r="C206">
        <v>45.7</v>
      </c>
      <c r="D206">
        <v>17.3</v>
      </c>
      <c r="E206">
        <v>193</v>
      </c>
      <c r="F206">
        <v>3600</v>
      </c>
      <c r="G206" t="s">
        <v>10</v>
      </c>
      <c r="H206">
        <f>IFERROR(penguins[[#This Row],[bill_length_mm]]/penguins[[#This Row],[bill_depth_mm]], "")</f>
        <v>2.6416184971098264</v>
      </c>
    </row>
    <row r="207" spans="1:8" x14ac:dyDescent="0.4">
      <c r="A207" t="s">
        <v>13</v>
      </c>
      <c r="B207" t="s">
        <v>12</v>
      </c>
      <c r="C207">
        <v>50.7</v>
      </c>
      <c r="D207">
        <v>19.7</v>
      </c>
      <c r="E207">
        <v>203</v>
      </c>
      <c r="F207">
        <v>4050</v>
      </c>
      <c r="G207" t="s">
        <v>9</v>
      </c>
      <c r="H207">
        <f>IFERROR(penguins[[#This Row],[bill_length_mm]]/penguins[[#This Row],[bill_depth_mm]], "")</f>
        <v>2.5736040609137056</v>
      </c>
    </row>
    <row r="208" spans="1:8" x14ac:dyDescent="0.4">
      <c r="A208" t="s">
        <v>13</v>
      </c>
      <c r="B208" t="s">
        <v>12</v>
      </c>
      <c r="C208">
        <v>42.5</v>
      </c>
      <c r="D208">
        <v>17.3</v>
      </c>
      <c r="E208">
        <v>187</v>
      </c>
      <c r="F208">
        <v>3350</v>
      </c>
      <c r="G208" t="s">
        <v>10</v>
      </c>
      <c r="H208">
        <f>IFERROR(penguins[[#This Row],[bill_length_mm]]/penguins[[#This Row],[bill_depth_mm]], "")</f>
        <v>2.4566473988439306</v>
      </c>
    </row>
    <row r="209" spans="1:8" x14ac:dyDescent="0.4">
      <c r="A209" t="s">
        <v>13</v>
      </c>
      <c r="B209" t="s">
        <v>12</v>
      </c>
      <c r="C209">
        <v>52.2</v>
      </c>
      <c r="D209">
        <v>18.8</v>
      </c>
      <c r="E209">
        <v>197</v>
      </c>
      <c r="F209">
        <v>3450</v>
      </c>
      <c r="G209" t="s">
        <v>9</v>
      </c>
      <c r="H209">
        <f>IFERROR(penguins[[#This Row],[bill_length_mm]]/penguins[[#This Row],[bill_depth_mm]], "")</f>
        <v>2.7765957446808511</v>
      </c>
    </row>
    <row r="210" spans="1:8" x14ac:dyDescent="0.4">
      <c r="A210" t="s">
        <v>13</v>
      </c>
      <c r="B210" t="s">
        <v>12</v>
      </c>
      <c r="C210">
        <v>45.2</v>
      </c>
      <c r="D210">
        <v>16.600000000000001</v>
      </c>
      <c r="E210">
        <v>191</v>
      </c>
      <c r="F210">
        <v>3250</v>
      </c>
      <c r="G210" t="s">
        <v>10</v>
      </c>
      <c r="H210">
        <f>IFERROR(penguins[[#This Row],[bill_length_mm]]/penguins[[#This Row],[bill_depth_mm]], "")</f>
        <v>2.7228915662650603</v>
      </c>
    </row>
    <row r="211" spans="1:8" x14ac:dyDescent="0.4">
      <c r="A211" t="s">
        <v>13</v>
      </c>
      <c r="B211" t="s">
        <v>12</v>
      </c>
      <c r="C211">
        <v>49.3</v>
      </c>
      <c r="D211">
        <v>19.899999999999999</v>
      </c>
      <c r="E211">
        <v>203</v>
      </c>
      <c r="F211">
        <v>4050</v>
      </c>
      <c r="G211" t="s">
        <v>9</v>
      </c>
      <c r="H211">
        <f>IFERROR(penguins[[#This Row],[bill_length_mm]]/penguins[[#This Row],[bill_depth_mm]], "")</f>
        <v>2.4773869346733668</v>
      </c>
    </row>
    <row r="212" spans="1:8" x14ac:dyDescent="0.4">
      <c r="A212" t="s">
        <v>13</v>
      </c>
      <c r="B212" t="s">
        <v>12</v>
      </c>
      <c r="C212">
        <v>50.2</v>
      </c>
      <c r="D212">
        <v>18.8</v>
      </c>
      <c r="E212">
        <v>202</v>
      </c>
      <c r="F212">
        <v>3800</v>
      </c>
      <c r="G212" t="s">
        <v>9</v>
      </c>
      <c r="H212">
        <f>IFERROR(penguins[[#This Row],[bill_length_mm]]/penguins[[#This Row],[bill_depth_mm]], "")</f>
        <v>2.6702127659574471</v>
      </c>
    </row>
    <row r="213" spans="1:8" x14ac:dyDescent="0.4">
      <c r="A213" t="s">
        <v>13</v>
      </c>
      <c r="B213" t="s">
        <v>12</v>
      </c>
      <c r="C213">
        <v>45.6</v>
      </c>
      <c r="D213">
        <v>19.399999999999999</v>
      </c>
      <c r="E213">
        <v>194</v>
      </c>
      <c r="F213">
        <v>3525</v>
      </c>
      <c r="G213" t="s">
        <v>10</v>
      </c>
      <c r="H213">
        <f>IFERROR(penguins[[#This Row],[bill_length_mm]]/penguins[[#This Row],[bill_depth_mm]], "")</f>
        <v>2.3505154639175259</v>
      </c>
    </row>
    <row r="214" spans="1:8" x14ac:dyDescent="0.4">
      <c r="A214" t="s">
        <v>13</v>
      </c>
      <c r="B214" t="s">
        <v>12</v>
      </c>
      <c r="C214">
        <v>51.9</v>
      </c>
      <c r="D214">
        <v>19.5</v>
      </c>
      <c r="E214">
        <v>206</v>
      </c>
      <c r="F214">
        <v>3950</v>
      </c>
      <c r="G214" t="s">
        <v>9</v>
      </c>
      <c r="H214">
        <f>IFERROR(penguins[[#This Row],[bill_length_mm]]/penguins[[#This Row],[bill_depth_mm]], "")</f>
        <v>2.6615384615384614</v>
      </c>
    </row>
    <row r="215" spans="1:8" x14ac:dyDescent="0.4">
      <c r="A215" t="s">
        <v>13</v>
      </c>
      <c r="B215" t="s">
        <v>12</v>
      </c>
      <c r="C215">
        <v>46.8</v>
      </c>
      <c r="D215">
        <v>16.5</v>
      </c>
      <c r="E215">
        <v>189</v>
      </c>
      <c r="F215">
        <v>3650</v>
      </c>
      <c r="G215" t="s">
        <v>10</v>
      </c>
      <c r="H215">
        <f>IFERROR(penguins[[#This Row],[bill_length_mm]]/penguins[[#This Row],[bill_depth_mm]], "")</f>
        <v>2.836363636363636</v>
      </c>
    </row>
    <row r="216" spans="1:8" x14ac:dyDescent="0.4">
      <c r="A216" t="s">
        <v>13</v>
      </c>
      <c r="B216" t="s">
        <v>12</v>
      </c>
      <c r="C216">
        <v>45.7</v>
      </c>
      <c r="D216">
        <v>17</v>
      </c>
      <c r="E216">
        <v>195</v>
      </c>
      <c r="F216">
        <v>3650</v>
      </c>
      <c r="G216" t="s">
        <v>10</v>
      </c>
      <c r="H216">
        <f>IFERROR(penguins[[#This Row],[bill_length_mm]]/penguins[[#This Row],[bill_depth_mm]], "")</f>
        <v>2.6882352941176473</v>
      </c>
    </row>
    <row r="217" spans="1:8" x14ac:dyDescent="0.4">
      <c r="A217" t="s">
        <v>13</v>
      </c>
      <c r="B217" t="s">
        <v>12</v>
      </c>
      <c r="C217">
        <v>55.8</v>
      </c>
      <c r="D217">
        <v>19.8</v>
      </c>
      <c r="E217">
        <v>207</v>
      </c>
      <c r="F217">
        <v>4000</v>
      </c>
      <c r="G217" t="s">
        <v>9</v>
      </c>
      <c r="H217">
        <f>IFERROR(penguins[[#This Row],[bill_length_mm]]/penguins[[#This Row],[bill_depth_mm]], "")</f>
        <v>2.8181818181818179</v>
      </c>
    </row>
    <row r="218" spans="1:8" x14ac:dyDescent="0.4">
      <c r="A218" t="s">
        <v>13</v>
      </c>
      <c r="B218" t="s">
        <v>12</v>
      </c>
      <c r="C218">
        <v>43.5</v>
      </c>
      <c r="D218">
        <v>18.100000000000001</v>
      </c>
      <c r="E218">
        <v>202</v>
      </c>
      <c r="F218">
        <v>3400</v>
      </c>
      <c r="G218" t="s">
        <v>10</v>
      </c>
      <c r="H218">
        <f>IFERROR(penguins[[#This Row],[bill_length_mm]]/penguins[[#This Row],[bill_depth_mm]], "")</f>
        <v>2.4033149171270716</v>
      </c>
    </row>
    <row r="219" spans="1:8" x14ac:dyDescent="0.4">
      <c r="A219" t="s">
        <v>13</v>
      </c>
      <c r="B219" t="s">
        <v>12</v>
      </c>
      <c r="C219">
        <v>49.6</v>
      </c>
      <c r="D219">
        <v>18.2</v>
      </c>
      <c r="E219">
        <v>193</v>
      </c>
      <c r="F219">
        <v>3775</v>
      </c>
      <c r="G219" t="s">
        <v>9</v>
      </c>
      <c r="H219">
        <f>IFERROR(penguins[[#This Row],[bill_length_mm]]/penguins[[#This Row],[bill_depth_mm]], "")</f>
        <v>2.7252747252747254</v>
      </c>
    </row>
    <row r="220" spans="1:8" x14ac:dyDescent="0.4">
      <c r="A220" t="s">
        <v>13</v>
      </c>
      <c r="B220" t="s">
        <v>12</v>
      </c>
      <c r="C220">
        <v>50.8</v>
      </c>
      <c r="D220">
        <v>19</v>
      </c>
      <c r="E220">
        <v>210</v>
      </c>
      <c r="F220">
        <v>4100</v>
      </c>
      <c r="G220" t="s">
        <v>9</v>
      </c>
      <c r="H220">
        <f>IFERROR(penguins[[#This Row],[bill_length_mm]]/penguins[[#This Row],[bill_depth_mm]], "")</f>
        <v>2.6736842105263157</v>
      </c>
    </row>
    <row r="221" spans="1:8" x14ac:dyDescent="0.4">
      <c r="A221" t="s">
        <v>13</v>
      </c>
      <c r="B221" t="s">
        <v>12</v>
      </c>
      <c r="C221">
        <v>50.2</v>
      </c>
      <c r="D221">
        <v>18.7</v>
      </c>
      <c r="E221">
        <v>198</v>
      </c>
      <c r="F221">
        <v>3775</v>
      </c>
      <c r="G221" t="s">
        <v>10</v>
      </c>
      <c r="H221">
        <f>IFERROR(penguins[[#This Row],[bill_length_mm]]/penguins[[#This Row],[bill_depth_mm]], "")</f>
        <v>2.6844919786096257</v>
      </c>
    </row>
    <row r="222" spans="1:8" x14ac:dyDescent="0.4">
      <c r="A222" t="s">
        <v>14</v>
      </c>
      <c r="B222" t="s">
        <v>11</v>
      </c>
      <c r="C222">
        <v>46.1</v>
      </c>
      <c r="D222">
        <v>13.2</v>
      </c>
      <c r="E222">
        <v>211</v>
      </c>
      <c r="F222">
        <v>4500</v>
      </c>
      <c r="G222" t="s">
        <v>10</v>
      </c>
      <c r="H222">
        <f>IFERROR(penguins[[#This Row],[bill_length_mm]]/penguins[[#This Row],[bill_depth_mm]], "")</f>
        <v>3.4924242424242427</v>
      </c>
    </row>
    <row r="223" spans="1:8" x14ac:dyDescent="0.4">
      <c r="A223" t="s">
        <v>14</v>
      </c>
      <c r="B223" t="s">
        <v>11</v>
      </c>
      <c r="C223">
        <v>50</v>
      </c>
      <c r="D223">
        <v>16.3</v>
      </c>
      <c r="E223">
        <v>230</v>
      </c>
      <c r="F223">
        <v>5700</v>
      </c>
      <c r="G223" t="s">
        <v>9</v>
      </c>
      <c r="H223">
        <f>IFERROR(penguins[[#This Row],[bill_length_mm]]/penguins[[#This Row],[bill_depth_mm]], "")</f>
        <v>3.0674846625766872</v>
      </c>
    </row>
    <row r="224" spans="1:8" x14ac:dyDescent="0.4">
      <c r="A224" t="s">
        <v>14</v>
      </c>
      <c r="B224" t="s">
        <v>11</v>
      </c>
      <c r="C224">
        <v>48.7</v>
      </c>
      <c r="D224">
        <v>14.1</v>
      </c>
      <c r="E224">
        <v>210</v>
      </c>
      <c r="F224">
        <v>4450</v>
      </c>
      <c r="G224" t="s">
        <v>10</v>
      </c>
      <c r="H224">
        <f>IFERROR(penguins[[#This Row],[bill_length_mm]]/penguins[[#This Row],[bill_depth_mm]], "")</f>
        <v>3.4539007092198584</v>
      </c>
    </row>
    <row r="225" spans="1:8" x14ac:dyDescent="0.4">
      <c r="A225" t="s">
        <v>14</v>
      </c>
      <c r="B225" t="s">
        <v>11</v>
      </c>
      <c r="C225">
        <v>50</v>
      </c>
      <c r="D225">
        <v>15.2</v>
      </c>
      <c r="E225">
        <v>218</v>
      </c>
      <c r="F225">
        <v>5700</v>
      </c>
      <c r="G225" t="s">
        <v>9</v>
      </c>
      <c r="H225">
        <f>IFERROR(penguins[[#This Row],[bill_length_mm]]/penguins[[#This Row],[bill_depth_mm]], "")</f>
        <v>3.2894736842105265</v>
      </c>
    </row>
    <row r="226" spans="1:8" x14ac:dyDescent="0.4">
      <c r="A226" t="s">
        <v>14</v>
      </c>
      <c r="B226" t="s">
        <v>11</v>
      </c>
      <c r="C226">
        <v>47.6</v>
      </c>
      <c r="D226">
        <v>14.5</v>
      </c>
      <c r="E226">
        <v>215</v>
      </c>
      <c r="F226">
        <v>5400</v>
      </c>
      <c r="G226" t="s">
        <v>9</v>
      </c>
      <c r="H226">
        <f>IFERROR(penguins[[#This Row],[bill_length_mm]]/penguins[[#This Row],[bill_depth_mm]], "")</f>
        <v>3.2827586206896551</v>
      </c>
    </row>
    <row r="227" spans="1:8" x14ac:dyDescent="0.4">
      <c r="A227" t="s">
        <v>14</v>
      </c>
      <c r="B227" t="s">
        <v>11</v>
      </c>
      <c r="C227">
        <v>46.5</v>
      </c>
      <c r="D227">
        <v>13.5</v>
      </c>
      <c r="E227">
        <v>210</v>
      </c>
      <c r="F227">
        <v>4550</v>
      </c>
      <c r="G227" t="s">
        <v>10</v>
      </c>
      <c r="H227">
        <f>IFERROR(penguins[[#This Row],[bill_length_mm]]/penguins[[#This Row],[bill_depth_mm]], "")</f>
        <v>3.4444444444444446</v>
      </c>
    </row>
    <row r="228" spans="1:8" x14ac:dyDescent="0.4">
      <c r="A228" t="s">
        <v>14</v>
      </c>
      <c r="B228" t="s">
        <v>11</v>
      </c>
      <c r="C228">
        <v>45.4</v>
      </c>
      <c r="D228">
        <v>14.6</v>
      </c>
      <c r="E228">
        <v>211</v>
      </c>
      <c r="F228">
        <v>4800</v>
      </c>
      <c r="G228" t="s">
        <v>10</v>
      </c>
      <c r="H228">
        <f>IFERROR(penguins[[#This Row],[bill_length_mm]]/penguins[[#This Row],[bill_depth_mm]], "")</f>
        <v>3.1095890410958904</v>
      </c>
    </row>
    <row r="229" spans="1:8" x14ac:dyDescent="0.4">
      <c r="A229" t="s">
        <v>14</v>
      </c>
      <c r="B229" t="s">
        <v>11</v>
      </c>
      <c r="C229">
        <v>46.7</v>
      </c>
      <c r="D229">
        <v>15.3</v>
      </c>
      <c r="E229">
        <v>219</v>
      </c>
      <c r="F229">
        <v>5200</v>
      </c>
      <c r="G229" t="s">
        <v>9</v>
      </c>
      <c r="H229">
        <f>IFERROR(penguins[[#This Row],[bill_length_mm]]/penguins[[#This Row],[bill_depth_mm]], "")</f>
        <v>3.0522875816993467</v>
      </c>
    </row>
    <row r="230" spans="1:8" x14ac:dyDescent="0.4">
      <c r="A230" t="s">
        <v>14</v>
      </c>
      <c r="B230" t="s">
        <v>11</v>
      </c>
      <c r="C230">
        <v>43.3</v>
      </c>
      <c r="D230">
        <v>13.4</v>
      </c>
      <c r="E230">
        <v>209</v>
      </c>
      <c r="F230">
        <v>4400</v>
      </c>
      <c r="G230" t="s">
        <v>10</v>
      </c>
      <c r="H230">
        <f>IFERROR(penguins[[#This Row],[bill_length_mm]]/penguins[[#This Row],[bill_depth_mm]], "")</f>
        <v>3.2313432835820892</v>
      </c>
    </row>
    <row r="231" spans="1:8" x14ac:dyDescent="0.4">
      <c r="A231" t="s">
        <v>14</v>
      </c>
      <c r="B231" t="s">
        <v>11</v>
      </c>
      <c r="C231">
        <v>46.8</v>
      </c>
      <c r="D231">
        <v>15.4</v>
      </c>
      <c r="E231">
        <v>215</v>
      </c>
      <c r="F231">
        <v>5150</v>
      </c>
      <c r="G231" t="s">
        <v>9</v>
      </c>
      <c r="H231">
        <f>IFERROR(penguins[[#This Row],[bill_length_mm]]/penguins[[#This Row],[bill_depth_mm]], "")</f>
        <v>3.0389610389610389</v>
      </c>
    </row>
    <row r="232" spans="1:8" x14ac:dyDescent="0.4">
      <c r="A232" t="s">
        <v>14</v>
      </c>
      <c r="B232" t="s">
        <v>11</v>
      </c>
      <c r="C232">
        <v>40.9</v>
      </c>
      <c r="D232">
        <v>13.7</v>
      </c>
      <c r="E232">
        <v>214</v>
      </c>
      <c r="F232">
        <v>4650</v>
      </c>
      <c r="G232" t="s">
        <v>10</v>
      </c>
      <c r="H232">
        <f>IFERROR(penguins[[#This Row],[bill_length_mm]]/penguins[[#This Row],[bill_depth_mm]], "")</f>
        <v>2.9854014598540148</v>
      </c>
    </row>
    <row r="233" spans="1:8" x14ac:dyDescent="0.4">
      <c r="A233" t="s">
        <v>14</v>
      </c>
      <c r="B233" t="s">
        <v>11</v>
      </c>
      <c r="C233">
        <v>49</v>
      </c>
      <c r="D233">
        <v>16.100000000000001</v>
      </c>
      <c r="E233">
        <v>216</v>
      </c>
      <c r="F233">
        <v>5550</v>
      </c>
      <c r="G233" t="s">
        <v>9</v>
      </c>
      <c r="H233">
        <f>IFERROR(penguins[[#This Row],[bill_length_mm]]/penguins[[#This Row],[bill_depth_mm]], "")</f>
        <v>3.043478260869565</v>
      </c>
    </row>
    <row r="234" spans="1:8" x14ac:dyDescent="0.4">
      <c r="A234" t="s">
        <v>14</v>
      </c>
      <c r="B234" t="s">
        <v>11</v>
      </c>
      <c r="C234">
        <v>45.5</v>
      </c>
      <c r="D234">
        <v>13.7</v>
      </c>
      <c r="E234">
        <v>214</v>
      </c>
      <c r="F234">
        <v>4650</v>
      </c>
      <c r="G234" t="s">
        <v>10</v>
      </c>
      <c r="H234">
        <f>IFERROR(penguins[[#This Row],[bill_length_mm]]/penguins[[#This Row],[bill_depth_mm]], "")</f>
        <v>3.3211678832116789</v>
      </c>
    </row>
    <row r="235" spans="1:8" x14ac:dyDescent="0.4">
      <c r="A235" t="s">
        <v>14</v>
      </c>
      <c r="B235" t="s">
        <v>11</v>
      </c>
      <c r="C235">
        <v>48.4</v>
      </c>
      <c r="D235">
        <v>14.6</v>
      </c>
      <c r="E235">
        <v>213</v>
      </c>
      <c r="F235">
        <v>5850</v>
      </c>
      <c r="G235" t="s">
        <v>9</v>
      </c>
      <c r="H235">
        <f>IFERROR(penguins[[#This Row],[bill_length_mm]]/penguins[[#This Row],[bill_depth_mm]], "")</f>
        <v>3.3150684931506849</v>
      </c>
    </row>
    <row r="236" spans="1:8" x14ac:dyDescent="0.4">
      <c r="A236" t="s">
        <v>14</v>
      </c>
      <c r="B236" t="s">
        <v>11</v>
      </c>
      <c r="C236">
        <v>45.8</v>
      </c>
      <c r="D236">
        <v>14.6</v>
      </c>
      <c r="E236">
        <v>210</v>
      </c>
      <c r="F236">
        <v>4200</v>
      </c>
      <c r="G236" t="s">
        <v>10</v>
      </c>
      <c r="H236">
        <f>IFERROR(penguins[[#This Row],[bill_length_mm]]/penguins[[#This Row],[bill_depth_mm]], "")</f>
        <v>3.1369863013698631</v>
      </c>
    </row>
    <row r="237" spans="1:8" x14ac:dyDescent="0.4">
      <c r="A237" t="s">
        <v>14</v>
      </c>
      <c r="B237" t="s">
        <v>11</v>
      </c>
      <c r="C237">
        <v>49.3</v>
      </c>
      <c r="D237">
        <v>15.7</v>
      </c>
      <c r="E237">
        <v>217</v>
      </c>
      <c r="F237">
        <v>5850</v>
      </c>
      <c r="G237" t="s">
        <v>9</v>
      </c>
      <c r="H237">
        <f>IFERROR(penguins[[#This Row],[bill_length_mm]]/penguins[[#This Row],[bill_depth_mm]], "")</f>
        <v>3.1401273885350318</v>
      </c>
    </row>
    <row r="238" spans="1:8" x14ac:dyDescent="0.4">
      <c r="A238" t="s">
        <v>14</v>
      </c>
      <c r="B238" t="s">
        <v>11</v>
      </c>
      <c r="C238">
        <v>42</v>
      </c>
      <c r="D238">
        <v>13.5</v>
      </c>
      <c r="E238">
        <v>210</v>
      </c>
      <c r="F238">
        <v>4150</v>
      </c>
      <c r="G238" t="s">
        <v>10</v>
      </c>
      <c r="H238">
        <f>IFERROR(penguins[[#This Row],[bill_length_mm]]/penguins[[#This Row],[bill_depth_mm]], "")</f>
        <v>3.1111111111111112</v>
      </c>
    </row>
    <row r="239" spans="1:8" x14ac:dyDescent="0.4">
      <c r="A239" t="s">
        <v>14</v>
      </c>
      <c r="B239" t="s">
        <v>11</v>
      </c>
      <c r="C239">
        <v>49.2</v>
      </c>
      <c r="D239">
        <v>15.2</v>
      </c>
      <c r="E239">
        <v>221</v>
      </c>
      <c r="F239">
        <v>6300</v>
      </c>
      <c r="G239" t="s">
        <v>9</v>
      </c>
      <c r="H239">
        <f>IFERROR(penguins[[#This Row],[bill_length_mm]]/penguins[[#This Row],[bill_depth_mm]], "")</f>
        <v>3.2368421052631584</v>
      </c>
    </row>
    <row r="240" spans="1:8" x14ac:dyDescent="0.4">
      <c r="A240" t="s">
        <v>14</v>
      </c>
      <c r="B240" t="s">
        <v>11</v>
      </c>
      <c r="C240">
        <v>46.2</v>
      </c>
      <c r="D240">
        <v>14.5</v>
      </c>
      <c r="E240">
        <v>209</v>
      </c>
      <c r="F240">
        <v>4800</v>
      </c>
      <c r="G240" t="s">
        <v>10</v>
      </c>
      <c r="H240">
        <f>IFERROR(penguins[[#This Row],[bill_length_mm]]/penguins[[#This Row],[bill_depth_mm]], "")</f>
        <v>3.1862068965517243</v>
      </c>
    </row>
    <row r="241" spans="1:8" x14ac:dyDescent="0.4">
      <c r="A241" t="s">
        <v>14</v>
      </c>
      <c r="B241" t="s">
        <v>11</v>
      </c>
      <c r="C241">
        <v>48.7</v>
      </c>
      <c r="D241">
        <v>15.1</v>
      </c>
      <c r="E241">
        <v>222</v>
      </c>
      <c r="F241">
        <v>5350</v>
      </c>
      <c r="G241" t="s">
        <v>9</v>
      </c>
      <c r="H241">
        <f>IFERROR(penguins[[#This Row],[bill_length_mm]]/penguins[[#This Row],[bill_depth_mm]], "")</f>
        <v>3.2251655629139075</v>
      </c>
    </row>
    <row r="242" spans="1:8" x14ac:dyDescent="0.4">
      <c r="A242" t="s">
        <v>14</v>
      </c>
      <c r="B242" t="s">
        <v>11</v>
      </c>
      <c r="C242">
        <v>50.2</v>
      </c>
      <c r="D242">
        <v>14.3</v>
      </c>
      <c r="E242">
        <v>218</v>
      </c>
      <c r="F242">
        <v>5700</v>
      </c>
      <c r="G242" t="s">
        <v>9</v>
      </c>
      <c r="H242">
        <f>IFERROR(penguins[[#This Row],[bill_length_mm]]/penguins[[#This Row],[bill_depth_mm]], "")</f>
        <v>3.5104895104895104</v>
      </c>
    </row>
    <row r="243" spans="1:8" x14ac:dyDescent="0.4">
      <c r="A243" t="s">
        <v>14</v>
      </c>
      <c r="B243" t="s">
        <v>11</v>
      </c>
      <c r="C243">
        <v>45.1</v>
      </c>
      <c r="D243">
        <v>14.5</v>
      </c>
      <c r="E243">
        <v>215</v>
      </c>
      <c r="F243">
        <v>5000</v>
      </c>
      <c r="G243" t="s">
        <v>10</v>
      </c>
      <c r="H243">
        <f>IFERROR(penguins[[#This Row],[bill_length_mm]]/penguins[[#This Row],[bill_depth_mm]], "")</f>
        <v>3.1103448275862071</v>
      </c>
    </row>
    <row r="244" spans="1:8" x14ac:dyDescent="0.4">
      <c r="A244" t="s">
        <v>14</v>
      </c>
      <c r="B244" t="s">
        <v>11</v>
      </c>
      <c r="C244">
        <v>46.5</v>
      </c>
      <c r="D244">
        <v>14.5</v>
      </c>
      <c r="E244">
        <v>213</v>
      </c>
      <c r="F244">
        <v>4400</v>
      </c>
      <c r="G244" t="s">
        <v>10</v>
      </c>
      <c r="H244">
        <f>IFERROR(penguins[[#This Row],[bill_length_mm]]/penguins[[#This Row],[bill_depth_mm]], "")</f>
        <v>3.2068965517241379</v>
      </c>
    </row>
    <row r="245" spans="1:8" x14ac:dyDescent="0.4">
      <c r="A245" t="s">
        <v>14</v>
      </c>
      <c r="B245" t="s">
        <v>11</v>
      </c>
      <c r="C245">
        <v>46.3</v>
      </c>
      <c r="D245">
        <v>15.8</v>
      </c>
      <c r="E245">
        <v>215</v>
      </c>
      <c r="F245">
        <v>5050</v>
      </c>
      <c r="G245" t="s">
        <v>9</v>
      </c>
      <c r="H245">
        <f>IFERROR(penguins[[#This Row],[bill_length_mm]]/penguins[[#This Row],[bill_depth_mm]], "")</f>
        <v>2.9303797468354427</v>
      </c>
    </row>
    <row r="246" spans="1:8" x14ac:dyDescent="0.4">
      <c r="A246" t="s">
        <v>14</v>
      </c>
      <c r="B246" t="s">
        <v>11</v>
      </c>
      <c r="C246">
        <v>42.9</v>
      </c>
      <c r="D246">
        <v>13.1</v>
      </c>
      <c r="E246">
        <v>215</v>
      </c>
      <c r="F246">
        <v>5000</v>
      </c>
      <c r="G246" t="s">
        <v>10</v>
      </c>
      <c r="H246">
        <f>IFERROR(penguins[[#This Row],[bill_length_mm]]/penguins[[#This Row],[bill_depth_mm]], "")</f>
        <v>3.2748091603053435</v>
      </c>
    </row>
    <row r="247" spans="1:8" x14ac:dyDescent="0.4">
      <c r="A247" t="s">
        <v>14</v>
      </c>
      <c r="B247" t="s">
        <v>11</v>
      </c>
      <c r="C247">
        <v>46.1</v>
      </c>
      <c r="D247">
        <v>15.1</v>
      </c>
      <c r="E247">
        <v>215</v>
      </c>
      <c r="F247">
        <v>5100</v>
      </c>
      <c r="G247" t="s">
        <v>9</v>
      </c>
      <c r="H247">
        <f>IFERROR(penguins[[#This Row],[bill_length_mm]]/penguins[[#This Row],[bill_depth_mm]], "")</f>
        <v>3.0529801324503314</v>
      </c>
    </row>
    <row r="248" spans="1:8" x14ac:dyDescent="0.4">
      <c r="A248" t="s">
        <v>14</v>
      </c>
      <c r="B248" t="s">
        <v>11</v>
      </c>
      <c r="C248">
        <v>44.5</v>
      </c>
      <c r="D248">
        <v>14.3</v>
      </c>
      <c r="E248">
        <v>216</v>
      </c>
      <c r="F248">
        <v>4100</v>
      </c>
      <c r="H248">
        <f>IFERROR(penguins[[#This Row],[bill_length_mm]]/penguins[[#This Row],[bill_depth_mm]], "")</f>
        <v>3.1118881118881117</v>
      </c>
    </row>
    <row r="249" spans="1:8" x14ac:dyDescent="0.4">
      <c r="A249" t="s">
        <v>14</v>
      </c>
      <c r="B249" t="s">
        <v>11</v>
      </c>
      <c r="C249">
        <v>47.8</v>
      </c>
      <c r="D249">
        <v>15</v>
      </c>
      <c r="E249">
        <v>215</v>
      </c>
      <c r="F249">
        <v>5650</v>
      </c>
      <c r="G249" t="s">
        <v>9</v>
      </c>
      <c r="H249">
        <f>IFERROR(penguins[[#This Row],[bill_length_mm]]/penguins[[#This Row],[bill_depth_mm]], "")</f>
        <v>3.1866666666666665</v>
      </c>
    </row>
    <row r="250" spans="1:8" x14ac:dyDescent="0.4">
      <c r="A250" t="s">
        <v>14</v>
      </c>
      <c r="B250" t="s">
        <v>11</v>
      </c>
      <c r="C250">
        <v>48.2</v>
      </c>
      <c r="D250">
        <v>14.3</v>
      </c>
      <c r="E250">
        <v>210</v>
      </c>
      <c r="F250">
        <v>4600</v>
      </c>
      <c r="G250" t="s">
        <v>10</v>
      </c>
      <c r="H250">
        <f>IFERROR(penguins[[#This Row],[bill_length_mm]]/penguins[[#This Row],[bill_depth_mm]], "")</f>
        <v>3.3706293706293708</v>
      </c>
    </row>
    <row r="251" spans="1:8" x14ac:dyDescent="0.4">
      <c r="A251" t="s">
        <v>14</v>
      </c>
      <c r="B251" t="s">
        <v>11</v>
      </c>
      <c r="C251">
        <v>50</v>
      </c>
      <c r="D251">
        <v>15.3</v>
      </c>
      <c r="E251">
        <v>220</v>
      </c>
      <c r="F251">
        <v>5550</v>
      </c>
      <c r="G251" t="s">
        <v>9</v>
      </c>
      <c r="H251">
        <f>IFERROR(penguins[[#This Row],[bill_length_mm]]/penguins[[#This Row],[bill_depth_mm]], "")</f>
        <v>3.2679738562091503</v>
      </c>
    </row>
    <row r="252" spans="1:8" x14ac:dyDescent="0.4">
      <c r="A252" t="s">
        <v>14</v>
      </c>
      <c r="B252" t="s">
        <v>11</v>
      </c>
      <c r="C252">
        <v>47.3</v>
      </c>
      <c r="D252">
        <v>15.3</v>
      </c>
      <c r="E252">
        <v>222</v>
      </c>
      <c r="F252">
        <v>5250</v>
      </c>
      <c r="G252" t="s">
        <v>9</v>
      </c>
      <c r="H252">
        <f>IFERROR(penguins[[#This Row],[bill_length_mm]]/penguins[[#This Row],[bill_depth_mm]], "")</f>
        <v>3.0915032679738559</v>
      </c>
    </row>
    <row r="253" spans="1:8" x14ac:dyDescent="0.4">
      <c r="A253" t="s">
        <v>14</v>
      </c>
      <c r="B253" t="s">
        <v>11</v>
      </c>
      <c r="C253">
        <v>42.8</v>
      </c>
      <c r="D253">
        <v>14.2</v>
      </c>
      <c r="E253">
        <v>209</v>
      </c>
      <c r="F253">
        <v>4700</v>
      </c>
      <c r="G253" t="s">
        <v>10</v>
      </c>
      <c r="H253">
        <f>IFERROR(penguins[[#This Row],[bill_length_mm]]/penguins[[#This Row],[bill_depth_mm]], "")</f>
        <v>3.0140845070422535</v>
      </c>
    </row>
    <row r="254" spans="1:8" x14ac:dyDescent="0.4">
      <c r="A254" t="s">
        <v>14</v>
      </c>
      <c r="B254" t="s">
        <v>11</v>
      </c>
      <c r="C254">
        <v>45.1</v>
      </c>
      <c r="D254">
        <v>14.5</v>
      </c>
      <c r="E254">
        <v>207</v>
      </c>
      <c r="F254">
        <v>5050</v>
      </c>
      <c r="G254" t="s">
        <v>10</v>
      </c>
      <c r="H254">
        <f>IFERROR(penguins[[#This Row],[bill_length_mm]]/penguins[[#This Row],[bill_depth_mm]], "")</f>
        <v>3.1103448275862071</v>
      </c>
    </row>
    <row r="255" spans="1:8" x14ac:dyDescent="0.4">
      <c r="A255" t="s">
        <v>14</v>
      </c>
      <c r="B255" t="s">
        <v>11</v>
      </c>
      <c r="C255">
        <v>59.6</v>
      </c>
      <c r="D255">
        <v>17</v>
      </c>
      <c r="E255">
        <v>230</v>
      </c>
      <c r="F255">
        <v>6050</v>
      </c>
      <c r="G255" t="s">
        <v>9</v>
      </c>
      <c r="H255">
        <f>IFERROR(penguins[[#This Row],[bill_length_mm]]/penguins[[#This Row],[bill_depth_mm]], "")</f>
        <v>3.5058823529411764</v>
      </c>
    </row>
    <row r="256" spans="1:8" x14ac:dyDescent="0.4">
      <c r="A256" t="s">
        <v>14</v>
      </c>
      <c r="B256" t="s">
        <v>11</v>
      </c>
      <c r="C256">
        <v>49.1</v>
      </c>
      <c r="D256">
        <v>14.8</v>
      </c>
      <c r="E256">
        <v>220</v>
      </c>
      <c r="F256">
        <v>5150</v>
      </c>
      <c r="G256" t="s">
        <v>10</v>
      </c>
      <c r="H256">
        <f>IFERROR(penguins[[#This Row],[bill_length_mm]]/penguins[[#This Row],[bill_depth_mm]], "")</f>
        <v>3.3175675675675675</v>
      </c>
    </row>
    <row r="257" spans="1:8" x14ac:dyDescent="0.4">
      <c r="A257" t="s">
        <v>14</v>
      </c>
      <c r="B257" t="s">
        <v>11</v>
      </c>
      <c r="C257">
        <v>48.4</v>
      </c>
      <c r="D257">
        <v>16.3</v>
      </c>
      <c r="E257">
        <v>220</v>
      </c>
      <c r="F257">
        <v>5400</v>
      </c>
      <c r="G257" t="s">
        <v>9</v>
      </c>
      <c r="H257">
        <f>IFERROR(penguins[[#This Row],[bill_length_mm]]/penguins[[#This Row],[bill_depth_mm]], "")</f>
        <v>2.9693251533742329</v>
      </c>
    </row>
    <row r="258" spans="1:8" x14ac:dyDescent="0.4">
      <c r="A258" t="s">
        <v>14</v>
      </c>
      <c r="B258" t="s">
        <v>11</v>
      </c>
      <c r="C258">
        <v>42.6</v>
      </c>
      <c r="D258">
        <v>13.7</v>
      </c>
      <c r="E258">
        <v>213</v>
      </c>
      <c r="F258">
        <v>4950</v>
      </c>
      <c r="G258" t="s">
        <v>10</v>
      </c>
      <c r="H258">
        <f>IFERROR(penguins[[#This Row],[bill_length_mm]]/penguins[[#This Row],[bill_depth_mm]], "")</f>
        <v>3.1094890510948909</v>
      </c>
    </row>
    <row r="259" spans="1:8" x14ac:dyDescent="0.4">
      <c r="A259" t="s">
        <v>14</v>
      </c>
      <c r="B259" t="s">
        <v>11</v>
      </c>
      <c r="C259">
        <v>44.4</v>
      </c>
      <c r="D259">
        <v>17.3</v>
      </c>
      <c r="E259">
        <v>219</v>
      </c>
      <c r="F259">
        <v>5250</v>
      </c>
      <c r="G259" t="s">
        <v>9</v>
      </c>
      <c r="H259">
        <f>IFERROR(penguins[[#This Row],[bill_length_mm]]/penguins[[#This Row],[bill_depth_mm]], "")</f>
        <v>2.5664739884393062</v>
      </c>
    </row>
    <row r="260" spans="1:8" x14ac:dyDescent="0.4">
      <c r="A260" t="s">
        <v>14</v>
      </c>
      <c r="B260" t="s">
        <v>11</v>
      </c>
      <c r="C260">
        <v>44</v>
      </c>
      <c r="D260">
        <v>13.6</v>
      </c>
      <c r="E260">
        <v>208</v>
      </c>
      <c r="F260">
        <v>4350</v>
      </c>
      <c r="G260" t="s">
        <v>10</v>
      </c>
      <c r="H260">
        <f>IFERROR(penguins[[#This Row],[bill_length_mm]]/penguins[[#This Row],[bill_depth_mm]], "")</f>
        <v>3.2352941176470589</v>
      </c>
    </row>
    <row r="261" spans="1:8" x14ac:dyDescent="0.4">
      <c r="A261" t="s">
        <v>14</v>
      </c>
      <c r="B261" t="s">
        <v>11</v>
      </c>
      <c r="C261">
        <v>48.7</v>
      </c>
      <c r="D261">
        <v>15.7</v>
      </c>
      <c r="E261">
        <v>208</v>
      </c>
      <c r="F261">
        <v>5350</v>
      </c>
      <c r="G261" t="s">
        <v>9</v>
      </c>
      <c r="H261">
        <f>IFERROR(penguins[[#This Row],[bill_length_mm]]/penguins[[#This Row],[bill_depth_mm]], "")</f>
        <v>3.1019108280254781</v>
      </c>
    </row>
    <row r="262" spans="1:8" x14ac:dyDescent="0.4">
      <c r="A262" t="s">
        <v>14</v>
      </c>
      <c r="B262" t="s">
        <v>11</v>
      </c>
      <c r="C262">
        <v>42.7</v>
      </c>
      <c r="D262">
        <v>13.7</v>
      </c>
      <c r="E262">
        <v>208</v>
      </c>
      <c r="F262">
        <v>3950</v>
      </c>
      <c r="G262" t="s">
        <v>10</v>
      </c>
      <c r="H262">
        <f>IFERROR(penguins[[#This Row],[bill_length_mm]]/penguins[[#This Row],[bill_depth_mm]], "")</f>
        <v>3.1167883211678835</v>
      </c>
    </row>
    <row r="263" spans="1:8" x14ac:dyDescent="0.4">
      <c r="A263" t="s">
        <v>14</v>
      </c>
      <c r="B263" t="s">
        <v>11</v>
      </c>
      <c r="C263">
        <v>49.6</v>
      </c>
      <c r="D263">
        <v>16</v>
      </c>
      <c r="E263">
        <v>225</v>
      </c>
      <c r="F263">
        <v>5700</v>
      </c>
      <c r="G263" t="s">
        <v>9</v>
      </c>
      <c r="H263">
        <f>IFERROR(penguins[[#This Row],[bill_length_mm]]/penguins[[#This Row],[bill_depth_mm]], "")</f>
        <v>3.1</v>
      </c>
    </row>
    <row r="264" spans="1:8" x14ac:dyDescent="0.4">
      <c r="A264" t="s">
        <v>14</v>
      </c>
      <c r="B264" t="s">
        <v>11</v>
      </c>
      <c r="C264">
        <v>45.3</v>
      </c>
      <c r="D264">
        <v>13.7</v>
      </c>
      <c r="E264">
        <v>210</v>
      </c>
      <c r="F264">
        <v>4300</v>
      </c>
      <c r="G264" t="s">
        <v>10</v>
      </c>
      <c r="H264">
        <f>IFERROR(penguins[[#This Row],[bill_length_mm]]/penguins[[#This Row],[bill_depth_mm]], "")</f>
        <v>3.3065693430656933</v>
      </c>
    </row>
    <row r="265" spans="1:8" x14ac:dyDescent="0.4">
      <c r="A265" t="s">
        <v>14</v>
      </c>
      <c r="B265" t="s">
        <v>11</v>
      </c>
      <c r="C265">
        <v>49.6</v>
      </c>
      <c r="D265">
        <v>15</v>
      </c>
      <c r="E265">
        <v>216</v>
      </c>
      <c r="F265">
        <v>4750</v>
      </c>
      <c r="G265" t="s">
        <v>9</v>
      </c>
      <c r="H265">
        <f>IFERROR(penguins[[#This Row],[bill_length_mm]]/penguins[[#This Row],[bill_depth_mm]], "")</f>
        <v>3.3066666666666666</v>
      </c>
    </row>
    <row r="266" spans="1:8" x14ac:dyDescent="0.4">
      <c r="A266" t="s">
        <v>14</v>
      </c>
      <c r="B266" t="s">
        <v>11</v>
      </c>
      <c r="C266">
        <v>50.5</v>
      </c>
      <c r="D266">
        <v>15.9</v>
      </c>
      <c r="E266">
        <v>222</v>
      </c>
      <c r="F266">
        <v>5550</v>
      </c>
      <c r="G266" t="s">
        <v>9</v>
      </c>
      <c r="H266">
        <f>IFERROR(penguins[[#This Row],[bill_length_mm]]/penguins[[#This Row],[bill_depth_mm]], "")</f>
        <v>3.1761006289308176</v>
      </c>
    </row>
    <row r="267" spans="1:8" x14ac:dyDescent="0.4">
      <c r="A267" t="s">
        <v>14</v>
      </c>
      <c r="B267" t="s">
        <v>11</v>
      </c>
      <c r="C267">
        <v>43.6</v>
      </c>
      <c r="D267">
        <v>13.9</v>
      </c>
      <c r="E267">
        <v>217</v>
      </c>
      <c r="F267">
        <v>4900</v>
      </c>
      <c r="G267" t="s">
        <v>10</v>
      </c>
      <c r="H267">
        <f>IFERROR(penguins[[#This Row],[bill_length_mm]]/penguins[[#This Row],[bill_depth_mm]], "")</f>
        <v>3.1366906474820144</v>
      </c>
    </row>
    <row r="268" spans="1:8" x14ac:dyDescent="0.4">
      <c r="A268" t="s">
        <v>14</v>
      </c>
      <c r="B268" t="s">
        <v>11</v>
      </c>
      <c r="C268">
        <v>45.5</v>
      </c>
      <c r="D268">
        <v>13.9</v>
      </c>
      <c r="E268">
        <v>210</v>
      </c>
      <c r="F268">
        <v>4200</v>
      </c>
      <c r="G268" t="s">
        <v>10</v>
      </c>
      <c r="H268">
        <f>IFERROR(penguins[[#This Row],[bill_length_mm]]/penguins[[#This Row],[bill_depth_mm]], "")</f>
        <v>3.2733812949640289</v>
      </c>
    </row>
    <row r="269" spans="1:8" x14ac:dyDescent="0.4">
      <c r="A269" t="s">
        <v>14</v>
      </c>
      <c r="B269" t="s">
        <v>11</v>
      </c>
      <c r="C269">
        <v>50.5</v>
      </c>
      <c r="D269">
        <v>15.9</v>
      </c>
      <c r="E269">
        <v>225</v>
      </c>
      <c r="F269">
        <v>5400</v>
      </c>
      <c r="G269" t="s">
        <v>9</v>
      </c>
      <c r="H269">
        <f>IFERROR(penguins[[#This Row],[bill_length_mm]]/penguins[[#This Row],[bill_depth_mm]], "")</f>
        <v>3.1761006289308176</v>
      </c>
    </row>
    <row r="270" spans="1:8" x14ac:dyDescent="0.4">
      <c r="A270" t="s">
        <v>14</v>
      </c>
      <c r="B270" t="s">
        <v>11</v>
      </c>
      <c r="C270">
        <v>44.9</v>
      </c>
      <c r="D270">
        <v>13.3</v>
      </c>
      <c r="E270">
        <v>213</v>
      </c>
      <c r="F270">
        <v>5100</v>
      </c>
      <c r="G270" t="s">
        <v>10</v>
      </c>
      <c r="H270">
        <f>IFERROR(penguins[[#This Row],[bill_length_mm]]/penguins[[#This Row],[bill_depth_mm]], "")</f>
        <v>3.3759398496240598</v>
      </c>
    </row>
    <row r="271" spans="1:8" x14ac:dyDescent="0.4">
      <c r="A271" t="s">
        <v>14</v>
      </c>
      <c r="B271" t="s">
        <v>11</v>
      </c>
      <c r="C271">
        <v>45.2</v>
      </c>
      <c r="D271">
        <v>15.8</v>
      </c>
      <c r="E271">
        <v>215</v>
      </c>
      <c r="F271">
        <v>5300</v>
      </c>
      <c r="G271" t="s">
        <v>9</v>
      </c>
      <c r="H271">
        <f>IFERROR(penguins[[#This Row],[bill_length_mm]]/penguins[[#This Row],[bill_depth_mm]], "")</f>
        <v>2.8607594936708862</v>
      </c>
    </row>
    <row r="272" spans="1:8" x14ac:dyDescent="0.4">
      <c r="A272" t="s">
        <v>14</v>
      </c>
      <c r="B272" t="s">
        <v>11</v>
      </c>
      <c r="C272">
        <v>46.6</v>
      </c>
      <c r="D272">
        <v>14.2</v>
      </c>
      <c r="E272">
        <v>210</v>
      </c>
      <c r="F272">
        <v>4850</v>
      </c>
      <c r="G272" t="s">
        <v>10</v>
      </c>
      <c r="H272">
        <f>IFERROR(penguins[[#This Row],[bill_length_mm]]/penguins[[#This Row],[bill_depth_mm]], "")</f>
        <v>3.2816901408450705</v>
      </c>
    </row>
    <row r="273" spans="1:8" x14ac:dyDescent="0.4">
      <c r="A273" t="s">
        <v>14</v>
      </c>
      <c r="B273" t="s">
        <v>11</v>
      </c>
      <c r="C273">
        <v>48.5</v>
      </c>
      <c r="D273">
        <v>14.1</v>
      </c>
      <c r="E273">
        <v>220</v>
      </c>
      <c r="F273">
        <v>5300</v>
      </c>
      <c r="G273" t="s">
        <v>9</v>
      </c>
      <c r="H273">
        <f>IFERROR(penguins[[#This Row],[bill_length_mm]]/penguins[[#This Row],[bill_depth_mm]], "")</f>
        <v>3.4397163120567376</v>
      </c>
    </row>
    <row r="274" spans="1:8" x14ac:dyDescent="0.4">
      <c r="A274" t="s">
        <v>14</v>
      </c>
      <c r="B274" t="s">
        <v>11</v>
      </c>
      <c r="C274">
        <v>45.1</v>
      </c>
      <c r="D274">
        <v>14.4</v>
      </c>
      <c r="E274">
        <v>210</v>
      </c>
      <c r="F274">
        <v>4400</v>
      </c>
      <c r="G274" t="s">
        <v>10</v>
      </c>
      <c r="H274">
        <f>IFERROR(penguins[[#This Row],[bill_length_mm]]/penguins[[#This Row],[bill_depth_mm]], "")</f>
        <v>3.1319444444444446</v>
      </c>
    </row>
    <row r="275" spans="1:8" x14ac:dyDescent="0.4">
      <c r="A275" t="s">
        <v>14</v>
      </c>
      <c r="B275" t="s">
        <v>11</v>
      </c>
      <c r="C275">
        <v>50.1</v>
      </c>
      <c r="D275">
        <v>15</v>
      </c>
      <c r="E275">
        <v>225</v>
      </c>
      <c r="F275">
        <v>5000</v>
      </c>
      <c r="G275" t="s">
        <v>9</v>
      </c>
      <c r="H275">
        <f>IFERROR(penguins[[#This Row],[bill_length_mm]]/penguins[[#This Row],[bill_depth_mm]], "")</f>
        <v>3.3400000000000003</v>
      </c>
    </row>
    <row r="276" spans="1:8" x14ac:dyDescent="0.4">
      <c r="A276" t="s">
        <v>14</v>
      </c>
      <c r="B276" t="s">
        <v>11</v>
      </c>
      <c r="C276">
        <v>46.5</v>
      </c>
      <c r="D276">
        <v>14.4</v>
      </c>
      <c r="E276">
        <v>217</v>
      </c>
      <c r="F276">
        <v>4900</v>
      </c>
      <c r="G276" t="s">
        <v>10</v>
      </c>
      <c r="H276">
        <f>IFERROR(penguins[[#This Row],[bill_length_mm]]/penguins[[#This Row],[bill_depth_mm]], "")</f>
        <v>3.2291666666666665</v>
      </c>
    </row>
    <row r="277" spans="1:8" x14ac:dyDescent="0.4">
      <c r="A277" t="s">
        <v>14</v>
      </c>
      <c r="B277" t="s">
        <v>11</v>
      </c>
      <c r="C277">
        <v>45</v>
      </c>
      <c r="D277">
        <v>15.4</v>
      </c>
      <c r="E277">
        <v>220</v>
      </c>
      <c r="F277">
        <v>5050</v>
      </c>
      <c r="G277" t="s">
        <v>9</v>
      </c>
      <c r="H277">
        <f>IFERROR(penguins[[#This Row],[bill_length_mm]]/penguins[[#This Row],[bill_depth_mm]], "")</f>
        <v>2.9220779220779218</v>
      </c>
    </row>
    <row r="278" spans="1:8" x14ac:dyDescent="0.4">
      <c r="A278" t="s">
        <v>14</v>
      </c>
      <c r="B278" t="s">
        <v>11</v>
      </c>
      <c r="C278">
        <v>43.8</v>
      </c>
      <c r="D278">
        <v>13.9</v>
      </c>
      <c r="E278">
        <v>208</v>
      </c>
      <c r="F278">
        <v>4300</v>
      </c>
      <c r="G278" t="s">
        <v>10</v>
      </c>
      <c r="H278">
        <f>IFERROR(penguins[[#This Row],[bill_length_mm]]/penguins[[#This Row],[bill_depth_mm]], "")</f>
        <v>3.151079136690647</v>
      </c>
    </row>
    <row r="279" spans="1:8" x14ac:dyDescent="0.4">
      <c r="A279" t="s">
        <v>14</v>
      </c>
      <c r="B279" t="s">
        <v>11</v>
      </c>
      <c r="C279">
        <v>45.5</v>
      </c>
      <c r="D279">
        <v>15</v>
      </c>
      <c r="E279">
        <v>220</v>
      </c>
      <c r="F279">
        <v>5000</v>
      </c>
      <c r="G279" t="s">
        <v>9</v>
      </c>
      <c r="H279">
        <f>IFERROR(penguins[[#This Row],[bill_length_mm]]/penguins[[#This Row],[bill_depth_mm]], "")</f>
        <v>3.0333333333333332</v>
      </c>
    </row>
    <row r="280" spans="1:8" x14ac:dyDescent="0.4">
      <c r="A280" t="s">
        <v>14</v>
      </c>
      <c r="B280" t="s">
        <v>11</v>
      </c>
      <c r="C280">
        <v>43.2</v>
      </c>
      <c r="D280">
        <v>14.5</v>
      </c>
      <c r="E280">
        <v>208</v>
      </c>
      <c r="F280">
        <v>4450</v>
      </c>
      <c r="G280" t="s">
        <v>10</v>
      </c>
      <c r="H280">
        <f>IFERROR(penguins[[#This Row],[bill_length_mm]]/penguins[[#This Row],[bill_depth_mm]], "")</f>
        <v>2.9793103448275864</v>
      </c>
    </row>
    <row r="281" spans="1:8" x14ac:dyDescent="0.4">
      <c r="A281" t="s">
        <v>14</v>
      </c>
      <c r="B281" t="s">
        <v>11</v>
      </c>
      <c r="C281">
        <v>50.4</v>
      </c>
      <c r="D281">
        <v>15.3</v>
      </c>
      <c r="E281">
        <v>224</v>
      </c>
      <c r="F281">
        <v>5550</v>
      </c>
      <c r="G281" t="s">
        <v>9</v>
      </c>
      <c r="H281">
        <f>IFERROR(penguins[[#This Row],[bill_length_mm]]/penguins[[#This Row],[bill_depth_mm]], "")</f>
        <v>3.2941176470588234</v>
      </c>
    </row>
    <row r="282" spans="1:8" x14ac:dyDescent="0.4">
      <c r="A282" t="s">
        <v>14</v>
      </c>
      <c r="B282" t="s">
        <v>11</v>
      </c>
      <c r="C282">
        <v>45.3</v>
      </c>
      <c r="D282">
        <v>13.8</v>
      </c>
      <c r="E282">
        <v>208</v>
      </c>
      <c r="F282">
        <v>4200</v>
      </c>
      <c r="G282" t="s">
        <v>10</v>
      </c>
      <c r="H282">
        <f>IFERROR(penguins[[#This Row],[bill_length_mm]]/penguins[[#This Row],[bill_depth_mm]], "")</f>
        <v>3.2826086956521734</v>
      </c>
    </row>
    <row r="283" spans="1:8" x14ac:dyDescent="0.4">
      <c r="A283" t="s">
        <v>14</v>
      </c>
      <c r="B283" t="s">
        <v>11</v>
      </c>
      <c r="C283">
        <v>46.2</v>
      </c>
      <c r="D283">
        <v>14.9</v>
      </c>
      <c r="E283">
        <v>221</v>
      </c>
      <c r="F283">
        <v>5300</v>
      </c>
      <c r="G283" t="s">
        <v>9</v>
      </c>
      <c r="H283">
        <f>IFERROR(penguins[[#This Row],[bill_length_mm]]/penguins[[#This Row],[bill_depth_mm]], "")</f>
        <v>3.1006711409395975</v>
      </c>
    </row>
    <row r="284" spans="1:8" x14ac:dyDescent="0.4">
      <c r="A284" t="s">
        <v>14</v>
      </c>
      <c r="B284" t="s">
        <v>11</v>
      </c>
      <c r="C284">
        <v>45.7</v>
      </c>
      <c r="D284">
        <v>13.9</v>
      </c>
      <c r="E284">
        <v>214</v>
      </c>
      <c r="F284">
        <v>4400</v>
      </c>
      <c r="G284" t="s">
        <v>10</v>
      </c>
      <c r="H284">
        <f>IFERROR(penguins[[#This Row],[bill_length_mm]]/penguins[[#This Row],[bill_depth_mm]], "")</f>
        <v>3.2877697841726619</v>
      </c>
    </row>
    <row r="285" spans="1:8" x14ac:dyDescent="0.4">
      <c r="A285" t="s">
        <v>14</v>
      </c>
      <c r="B285" t="s">
        <v>11</v>
      </c>
      <c r="C285">
        <v>54.3</v>
      </c>
      <c r="D285">
        <v>15.7</v>
      </c>
      <c r="E285">
        <v>231</v>
      </c>
      <c r="F285">
        <v>5650</v>
      </c>
      <c r="G285" t="s">
        <v>9</v>
      </c>
      <c r="H285">
        <f>IFERROR(penguins[[#This Row],[bill_length_mm]]/penguins[[#This Row],[bill_depth_mm]], "")</f>
        <v>3.4585987261146496</v>
      </c>
    </row>
    <row r="286" spans="1:8" x14ac:dyDescent="0.4">
      <c r="A286" t="s">
        <v>14</v>
      </c>
      <c r="B286" t="s">
        <v>11</v>
      </c>
      <c r="C286">
        <v>45.8</v>
      </c>
      <c r="D286">
        <v>14.2</v>
      </c>
      <c r="E286">
        <v>219</v>
      </c>
      <c r="F286">
        <v>4700</v>
      </c>
      <c r="G286" t="s">
        <v>10</v>
      </c>
      <c r="H286">
        <f>IFERROR(penguins[[#This Row],[bill_length_mm]]/penguins[[#This Row],[bill_depth_mm]], "")</f>
        <v>3.2253521126760565</v>
      </c>
    </row>
    <row r="287" spans="1:8" x14ac:dyDescent="0.4">
      <c r="A287" t="s">
        <v>14</v>
      </c>
      <c r="B287" t="s">
        <v>11</v>
      </c>
      <c r="C287">
        <v>49.8</v>
      </c>
      <c r="D287">
        <v>16.8</v>
      </c>
      <c r="E287">
        <v>230</v>
      </c>
      <c r="F287">
        <v>5700</v>
      </c>
      <c r="G287" t="s">
        <v>9</v>
      </c>
      <c r="H287">
        <f>IFERROR(penguins[[#This Row],[bill_length_mm]]/penguins[[#This Row],[bill_depth_mm]], "")</f>
        <v>2.964285714285714</v>
      </c>
    </row>
    <row r="288" spans="1:8" x14ac:dyDescent="0.4">
      <c r="A288" t="s">
        <v>14</v>
      </c>
      <c r="B288" t="s">
        <v>11</v>
      </c>
      <c r="C288">
        <v>46.2</v>
      </c>
      <c r="D288">
        <v>14.4</v>
      </c>
      <c r="E288">
        <v>214</v>
      </c>
      <c r="F288">
        <v>4650</v>
      </c>
      <c r="H288">
        <f>IFERROR(penguins[[#This Row],[bill_length_mm]]/penguins[[#This Row],[bill_depth_mm]], "")</f>
        <v>3.2083333333333335</v>
      </c>
    </row>
    <row r="289" spans="1:8" x14ac:dyDescent="0.4">
      <c r="A289" t="s">
        <v>14</v>
      </c>
      <c r="B289" t="s">
        <v>11</v>
      </c>
      <c r="C289">
        <v>49.5</v>
      </c>
      <c r="D289">
        <v>16.2</v>
      </c>
      <c r="E289">
        <v>229</v>
      </c>
      <c r="F289">
        <v>5800</v>
      </c>
      <c r="G289" t="s">
        <v>9</v>
      </c>
      <c r="H289">
        <f>IFERROR(penguins[[#This Row],[bill_length_mm]]/penguins[[#This Row],[bill_depth_mm]], "")</f>
        <v>3.0555555555555558</v>
      </c>
    </row>
    <row r="290" spans="1:8" x14ac:dyDescent="0.4">
      <c r="A290" t="s">
        <v>14</v>
      </c>
      <c r="B290" t="s">
        <v>11</v>
      </c>
      <c r="C290">
        <v>43.5</v>
      </c>
      <c r="D290">
        <v>14.2</v>
      </c>
      <c r="E290">
        <v>220</v>
      </c>
      <c r="F290">
        <v>4700</v>
      </c>
      <c r="G290" t="s">
        <v>10</v>
      </c>
      <c r="H290">
        <f>IFERROR(penguins[[#This Row],[bill_length_mm]]/penguins[[#This Row],[bill_depth_mm]], "")</f>
        <v>3.063380281690141</v>
      </c>
    </row>
    <row r="291" spans="1:8" x14ac:dyDescent="0.4">
      <c r="A291" t="s">
        <v>14</v>
      </c>
      <c r="B291" t="s">
        <v>11</v>
      </c>
      <c r="C291">
        <v>50.7</v>
      </c>
      <c r="D291">
        <v>15</v>
      </c>
      <c r="E291">
        <v>223</v>
      </c>
      <c r="F291">
        <v>5550</v>
      </c>
      <c r="G291" t="s">
        <v>9</v>
      </c>
      <c r="H291">
        <f>IFERROR(penguins[[#This Row],[bill_length_mm]]/penguins[[#This Row],[bill_depth_mm]], "")</f>
        <v>3.3800000000000003</v>
      </c>
    </row>
    <row r="292" spans="1:8" x14ac:dyDescent="0.4">
      <c r="A292" t="s">
        <v>14</v>
      </c>
      <c r="B292" t="s">
        <v>11</v>
      </c>
      <c r="C292">
        <v>47.7</v>
      </c>
      <c r="D292">
        <v>15</v>
      </c>
      <c r="E292">
        <v>216</v>
      </c>
      <c r="F292">
        <v>4750</v>
      </c>
      <c r="G292" t="s">
        <v>10</v>
      </c>
      <c r="H292">
        <f>IFERROR(penguins[[#This Row],[bill_length_mm]]/penguins[[#This Row],[bill_depth_mm]], "")</f>
        <v>3.18</v>
      </c>
    </row>
    <row r="293" spans="1:8" x14ac:dyDescent="0.4">
      <c r="A293" t="s">
        <v>14</v>
      </c>
      <c r="B293" t="s">
        <v>11</v>
      </c>
      <c r="C293">
        <v>46.4</v>
      </c>
      <c r="D293">
        <v>15.6</v>
      </c>
      <c r="E293">
        <v>221</v>
      </c>
      <c r="F293">
        <v>5000</v>
      </c>
      <c r="G293" t="s">
        <v>9</v>
      </c>
      <c r="H293">
        <f>IFERROR(penguins[[#This Row],[bill_length_mm]]/penguins[[#This Row],[bill_depth_mm]], "")</f>
        <v>2.9743589743589745</v>
      </c>
    </row>
    <row r="294" spans="1:8" x14ac:dyDescent="0.4">
      <c r="A294" t="s">
        <v>14</v>
      </c>
      <c r="B294" t="s">
        <v>11</v>
      </c>
      <c r="C294">
        <v>48.2</v>
      </c>
      <c r="D294">
        <v>15.6</v>
      </c>
      <c r="E294">
        <v>221</v>
      </c>
      <c r="F294">
        <v>5100</v>
      </c>
      <c r="G294" t="s">
        <v>9</v>
      </c>
      <c r="H294">
        <f>IFERROR(penguins[[#This Row],[bill_length_mm]]/penguins[[#This Row],[bill_depth_mm]], "")</f>
        <v>3.0897435897435899</v>
      </c>
    </row>
    <row r="295" spans="1:8" x14ac:dyDescent="0.4">
      <c r="A295" t="s">
        <v>14</v>
      </c>
      <c r="B295" t="s">
        <v>11</v>
      </c>
      <c r="C295">
        <v>46.5</v>
      </c>
      <c r="D295">
        <v>14.8</v>
      </c>
      <c r="E295">
        <v>217</v>
      </c>
      <c r="F295">
        <v>5200</v>
      </c>
      <c r="G295" t="s">
        <v>10</v>
      </c>
      <c r="H295">
        <f>IFERROR(penguins[[#This Row],[bill_length_mm]]/penguins[[#This Row],[bill_depth_mm]], "")</f>
        <v>3.1418918918918917</v>
      </c>
    </row>
    <row r="296" spans="1:8" x14ac:dyDescent="0.4">
      <c r="A296" t="s">
        <v>14</v>
      </c>
      <c r="B296" t="s">
        <v>11</v>
      </c>
      <c r="C296">
        <v>46.4</v>
      </c>
      <c r="D296">
        <v>15</v>
      </c>
      <c r="E296">
        <v>216</v>
      </c>
      <c r="F296">
        <v>4700</v>
      </c>
      <c r="G296" t="s">
        <v>10</v>
      </c>
      <c r="H296">
        <f>IFERROR(penguins[[#This Row],[bill_length_mm]]/penguins[[#This Row],[bill_depth_mm]], "")</f>
        <v>3.0933333333333333</v>
      </c>
    </row>
    <row r="297" spans="1:8" x14ac:dyDescent="0.4">
      <c r="A297" t="s">
        <v>14</v>
      </c>
      <c r="B297" t="s">
        <v>11</v>
      </c>
      <c r="C297">
        <v>48.6</v>
      </c>
      <c r="D297">
        <v>16</v>
      </c>
      <c r="E297">
        <v>230</v>
      </c>
      <c r="F297">
        <v>5800</v>
      </c>
      <c r="G297" t="s">
        <v>9</v>
      </c>
      <c r="H297">
        <f>IFERROR(penguins[[#This Row],[bill_length_mm]]/penguins[[#This Row],[bill_depth_mm]], "")</f>
        <v>3.0375000000000001</v>
      </c>
    </row>
    <row r="298" spans="1:8" x14ac:dyDescent="0.4">
      <c r="A298" t="s">
        <v>14</v>
      </c>
      <c r="B298" t="s">
        <v>11</v>
      </c>
      <c r="C298">
        <v>47.5</v>
      </c>
      <c r="D298">
        <v>14.2</v>
      </c>
      <c r="E298">
        <v>209</v>
      </c>
      <c r="F298">
        <v>4600</v>
      </c>
      <c r="G298" t="s">
        <v>10</v>
      </c>
      <c r="H298">
        <f>IFERROR(penguins[[#This Row],[bill_length_mm]]/penguins[[#This Row],[bill_depth_mm]], "")</f>
        <v>3.3450704225352115</v>
      </c>
    </row>
    <row r="299" spans="1:8" x14ac:dyDescent="0.4">
      <c r="A299" t="s">
        <v>14</v>
      </c>
      <c r="B299" t="s">
        <v>11</v>
      </c>
      <c r="C299">
        <v>51.1</v>
      </c>
      <c r="D299">
        <v>16.3</v>
      </c>
      <c r="E299">
        <v>220</v>
      </c>
      <c r="F299">
        <v>6000</v>
      </c>
      <c r="G299" t="s">
        <v>9</v>
      </c>
      <c r="H299">
        <f>IFERROR(penguins[[#This Row],[bill_length_mm]]/penguins[[#This Row],[bill_depth_mm]], "")</f>
        <v>3.1349693251533743</v>
      </c>
    </row>
    <row r="300" spans="1:8" x14ac:dyDescent="0.4">
      <c r="A300" t="s">
        <v>14</v>
      </c>
      <c r="B300" t="s">
        <v>11</v>
      </c>
      <c r="C300">
        <v>45.2</v>
      </c>
      <c r="D300">
        <v>13.8</v>
      </c>
      <c r="E300">
        <v>215</v>
      </c>
      <c r="F300">
        <v>4750</v>
      </c>
      <c r="G300" t="s">
        <v>10</v>
      </c>
      <c r="H300">
        <f>IFERROR(penguins[[#This Row],[bill_length_mm]]/penguins[[#This Row],[bill_depth_mm]], "")</f>
        <v>3.2753623188405796</v>
      </c>
    </row>
    <row r="301" spans="1:8" x14ac:dyDescent="0.4">
      <c r="A301" t="s">
        <v>14</v>
      </c>
      <c r="B301" t="s">
        <v>11</v>
      </c>
      <c r="C301">
        <v>45.2</v>
      </c>
      <c r="D301">
        <v>16.399999999999999</v>
      </c>
      <c r="E301">
        <v>223</v>
      </c>
      <c r="F301">
        <v>5950</v>
      </c>
      <c r="G301" t="s">
        <v>9</v>
      </c>
      <c r="H301">
        <f>IFERROR(penguins[[#This Row],[bill_length_mm]]/penguins[[#This Row],[bill_depth_mm]], "")</f>
        <v>2.75609756097561</v>
      </c>
    </row>
    <row r="302" spans="1:8" x14ac:dyDescent="0.4">
      <c r="A302" t="s">
        <v>14</v>
      </c>
      <c r="B302" t="s">
        <v>11</v>
      </c>
      <c r="C302">
        <v>49.1</v>
      </c>
      <c r="D302">
        <v>14.5</v>
      </c>
      <c r="E302">
        <v>212</v>
      </c>
      <c r="F302">
        <v>4625</v>
      </c>
      <c r="G302" t="s">
        <v>10</v>
      </c>
      <c r="H302">
        <f>IFERROR(penguins[[#This Row],[bill_length_mm]]/penguins[[#This Row],[bill_depth_mm]], "")</f>
        <v>3.386206896551724</v>
      </c>
    </row>
    <row r="303" spans="1:8" x14ac:dyDescent="0.4">
      <c r="A303" t="s">
        <v>14</v>
      </c>
      <c r="B303" t="s">
        <v>11</v>
      </c>
      <c r="C303">
        <v>52.5</v>
      </c>
      <c r="D303">
        <v>15.6</v>
      </c>
      <c r="E303">
        <v>221</v>
      </c>
      <c r="F303">
        <v>5450</v>
      </c>
      <c r="G303" t="s">
        <v>9</v>
      </c>
      <c r="H303">
        <f>IFERROR(penguins[[#This Row],[bill_length_mm]]/penguins[[#This Row],[bill_depth_mm]], "")</f>
        <v>3.3653846153846154</v>
      </c>
    </row>
    <row r="304" spans="1:8" x14ac:dyDescent="0.4">
      <c r="A304" t="s">
        <v>14</v>
      </c>
      <c r="B304" t="s">
        <v>11</v>
      </c>
      <c r="C304">
        <v>47.4</v>
      </c>
      <c r="D304">
        <v>14.6</v>
      </c>
      <c r="E304">
        <v>212</v>
      </c>
      <c r="F304">
        <v>4725</v>
      </c>
      <c r="G304" t="s">
        <v>10</v>
      </c>
      <c r="H304">
        <f>IFERROR(penguins[[#This Row],[bill_length_mm]]/penguins[[#This Row],[bill_depth_mm]], "")</f>
        <v>3.2465753424657535</v>
      </c>
    </row>
    <row r="305" spans="1:8" x14ac:dyDescent="0.4">
      <c r="A305" t="s">
        <v>14</v>
      </c>
      <c r="B305" t="s">
        <v>11</v>
      </c>
      <c r="C305">
        <v>50</v>
      </c>
      <c r="D305">
        <v>15.9</v>
      </c>
      <c r="E305">
        <v>224</v>
      </c>
      <c r="F305">
        <v>5350</v>
      </c>
      <c r="G305" t="s">
        <v>9</v>
      </c>
      <c r="H305">
        <f>IFERROR(penguins[[#This Row],[bill_length_mm]]/penguins[[#This Row],[bill_depth_mm]], "")</f>
        <v>3.1446540880503142</v>
      </c>
    </row>
    <row r="306" spans="1:8" x14ac:dyDescent="0.4">
      <c r="A306" t="s">
        <v>14</v>
      </c>
      <c r="B306" t="s">
        <v>11</v>
      </c>
      <c r="C306">
        <v>44.9</v>
      </c>
      <c r="D306">
        <v>13.8</v>
      </c>
      <c r="E306">
        <v>212</v>
      </c>
      <c r="F306">
        <v>4750</v>
      </c>
      <c r="G306" t="s">
        <v>10</v>
      </c>
      <c r="H306">
        <f>IFERROR(penguins[[#This Row],[bill_length_mm]]/penguins[[#This Row],[bill_depth_mm]], "")</f>
        <v>3.2536231884057969</v>
      </c>
    </row>
    <row r="307" spans="1:8" x14ac:dyDescent="0.4">
      <c r="A307" t="s">
        <v>14</v>
      </c>
      <c r="B307" t="s">
        <v>11</v>
      </c>
      <c r="C307">
        <v>50.8</v>
      </c>
      <c r="D307">
        <v>17.3</v>
      </c>
      <c r="E307">
        <v>228</v>
      </c>
      <c r="F307">
        <v>5600</v>
      </c>
      <c r="G307" t="s">
        <v>9</v>
      </c>
      <c r="H307">
        <f>IFERROR(penguins[[#This Row],[bill_length_mm]]/penguins[[#This Row],[bill_depth_mm]], "")</f>
        <v>2.9364161849710979</v>
      </c>
    </row>
    <row r="308" spans="1:8" x14ac:dyDescent="0.4">
      <c r="A308" t="s">
        <v>14</v>
      </c>
      <c r="B308" t="s">
        <v>11</v>
      </c>
      <c r="C308">
        <v>43.4</v>
      </c>
      <c r="D308">
        <v>14.4</v>
      </c>
      <c r="E308">
        <v>218</v>
      </c>
      <c r="F308">
        <v>4600</v>
      </c>
      <c r="G308" t="s">
        <v>10</v>
      </c>
      <c r="H308">
        <f>IFERROR(penguins[[#This Row],[bill_length_mm]]/penguins[[#This Row],[bill_depth_mm]], "")</f>
        <v>3.0138888888888888</v>
      </c>
    </row>
    <row r="309" spans="1:8" x14ac:dyDescent="0.4">
      <c r="A309" t="s">
        <v>14</v>
      </c>
      <c r="B309" t="s">
        <v>11</v>
      </c>
      <c r="C309">
        <v>51.3</v>
      </c>
      <c r="D309">
        <v>14.2</v>
      </c>
      <c r="E309">
        <v>218</v>
      </c>
      <c r="F309">
        <v>5300</v>
      </c>
      <c r="G309" t="s">
        <v>9</v>
      </c>
      <c r="H309">
        <f>IFERROR(penguins[[#This Row],[bill_length_mm]]/penguins[[#This Row],[bill_depth_mm]], "")</f>
        <v>3.612676056338028</v>
      </c>
    </row>
    <row r="310" spans="1:8" x14ac:dyDescent="0.4">
      <c r="A310" t="s">
        <v>14</v>
      </c>
      <c r="B310" t="s">
        <v>11</v>
      </c>
      <c r="C310">
        <v>47.5</v>
      </c>
      <c r="D310">
        <v>14</v>
      </c>
      <c r="E310">
        <v>212</v>
      </c>
      <c r="F310">
        <v>4875</v>
      </c>
      <c r="G310" t="s">
        <v>10</v>
      </c>
      <c r="H310">
        <f>IFERROR(penguins[[#This Row],[bill_length_mm]]/penguins[[#This Row],[bill_depth_mm]], "")</f>
        <v>3.3928571428571428</v>
      </c>
    </row>
    <row r="311" spans="1:8" x14ac:dyDescent="0.4">
      <c r="A311" t="s">
        <v>14</v>
      </c>
      <c r="B311" t="s">
        <v>11</v>
      </c>
      <c r="C311">
        <v>52.1</v>
      </c>
      <c r="D311">
        <v>17</v>
      </c>
      <c r="E311">
        <v>230</v>
      </c>
      <c r="F311">
        <v>5550</v>
      </c>
      <c r="G311" t="s">
        <v>9</v>
      </c>
      <c r="H311">
        <f>IFERROR(penguins[[#This Row],[bill_length_mm]]/penguins[[#This Row],[bill_depth_mm]], "")</f>
        <v>3.0647058823529414</v>
      </c>
    </row>
    <row r="312" spans="1:8" x14ac:dyDescent="0.4">
      <c r="A312" t="s">
        <v>14</v>
      </c>
      <c r="B312" t="s">
        <v>11</v>
      </c>
      <c r="C312">
        <v>47.5</v>
      </c>
      <c r="D312">
        <v>15</v>
      </c>
      <c r="E312">
        <v>218</v>
      </c>
      <c r="F312">
        <v>4950</v>
      </c>
      <c r="G312" t="s">
        <v>10</v>
      </c>
      <c r="H312">
        <f>IFERROR(penguins[[#This Row],[bill_length_mm]]/penguins[[#This Row],[bill_depth_mm]], "")</f>
        <v>3.1666666666666665</v>
      </c>
    </row>
    <row r="313" spans="1:8" x14ac:dyDescent="0.4">
      <c r="A313" t="s">
        <v>14</v>
      </c>
      <c r="B313" t="s">
        <v>11</v>
      </c>
      <c r="C313">
        <v>52.2</v>
      </c>
      <c r="D313">
        <v>17.100000000000001</v>
      </c>
      <c r="E313">
        <v>228</v>
      </c>
      <c r="F313">
        <v>5400</v>
      </c>
      <c r="G313" t="s">
        <v>9</v>
      </c>
      <c r="H313">
        <f>IFERROR(penguins[[#This Row],[bill_length_mm]]/penguins[[#This Row],[bill_depth_mm]], "")</f>
        <v>3.0526315789473681</v>
      </c>
    </row>
    <row r="314" spans="1:8" x14ac:dyDescent="0.4">
      <c r="A314" t="s">
        <v>14</v>
      </c>
      <c r="B314" t="s">
        <v>11</v>
      </c>
      <c r="C314">
        <v>45.5</v>
      </c>
      <c r="D314">
        <v>14.5</v>
      </c>
      <c r="E314">
        <v>212</v>
      </c>
      <c r="F314">
        <v>4750</v>
      </c>
      <c r="G314" t="s">
        <v>10</v>
      </c>
      <c r="H314">
        <f>IFERROR(penguins[[#This Row],[bill_length_mm]]/penguins[[#This Row],[bill_depth_mm]], "")</f>
        <v>3.1379310344827585</v>
      </c>
    </row>
    <row r="315" spans="1:8" x14ac:dyDescent="0.4">
      <c r="A315" t="s">
        <v>14</v>
      </c>
      <c r="B315" t="s">
        <v>11</v>
      </c>
      <c r="C315">
        <v>49.5</v>
      </c>
      <c r="D315">
        <v>16.100000000000001</v>
      </c>
      <c r="E315">
        <v>224</v>
      </c>
      <c r="F315">
        <v>5650</v>
      </c>
      <c r="G315" t="s">
        <v>9</v>
      </c>
      <c r="H315">
        <f>IFERROR(penguins[[#This Row],[bill_length_mm]]/penguins[[#This Row],[bill_depth_mm]], "")</f>
        <v>3.0745341614906829</v>
      </c>
    </row>
    <row r="316" spans="1:8" x14ac:dyDescent="0.4">
      <c r="A316" t="s">
        <v>14</v>
      </c>
      <c r="B316" t="s">
        <v>11</v>
      </c>
      <c r="C316">
        <v>44.5</v>
      </c>
      <c r="D316">
        <v>14.7</v>
      </c>
      <c r="E316">
        <v>214</v>
      </c>
      <c r="F316">
        <v>4850</v>
      </c>
      <c r="G316" t="s">
        <v>10</v>
      </c>
      <c r="H316">
        <f>IFERROR(penguins[[#This Row],[bill_length_mm]]/penguins[[#This Row],[bill_depth_mm]], "")</f>
        <v>3.0272108843537415</v>
      </c>
    </row>
    <row r="317" spans="1:8" x14ac:dyDescent="0.4">
      <c r="A317" t="s">
        <v>14</v>
      </c>
      <c r="B317" t="s">
        <v>11</v>
      </c>
      <c r="C317">
        <v>50.8</v>
      </c>
      <c r="D317">
        <v>15.7</v>
      </c>
      <c r="E317">
        <v>226</v>
      </c>
      <c r="F317">
        <v>5200</v>
      </c>
      <c r="G317" t="s">
        <v>9</v>
      </c>
      <c r="H317">
        <f>IFERROR(penguins[[#This Row],[bill_length_mm]]/penguins[[#This Row],[bill_depth_mm]], "")</f>
        <v>3.2356687898089174</v>
      </c>
    </row>
    <row r="318" spans="1:8" x14ac:dyDescent="0.4">
      <c r="A318" t="s">
        <v>14</v>
      </c>
      <c r="B318" t="s">
        <v>11</v>
      </c>
      <c r="C318">
        <v>49.4</v>
      </c>
      <c r="D318">
        <v>15.8</v>
      </c>
      <c r="E318">
        <v>216</v>
      </c>
      <c r="F318">
        <v>4925</v>
      </c>
      <c r="G318" t="s">
        <v>9</v>
      </c>
      <c r="H318">
        <f>IFERROR(penguins[[#This Row],[bill_length_mm]]/penguins[[#This Row],[bill_depth_mm]], "")</f>
        <v>3.1265822784810124</v>
      </c>
    </row>
    <row r="319" spans="1:8" x14ac:dyDescent="0.4">
      <c r="A319" t="s">
        <v>14</v>
      </c>
      <c r="B319" t="s">
        <v>11</v>
      </c>
      <c r="C319">
        <v>46.9</v>
      </c>
      <c r="D319">
        <v>14.6</v>
      </c>
      <c r="E319">
        <v>222</v>
      </c>
      <c r="F319">
        <v>4875</v>
      </c>
      <c r="G319" t="s">
        <v>10</v>
      </c>
      <c r="H319">
        <f>IFERROR(penguins[[#This Row],[bill_length_mm]]/penguins[[#This Row],[bill_depth_mm]], "")</f>
        <v>3.2123287671232879</v>
      </c>
    </row>
    <row r="320" spans="1:8" x14ac:dyDescent="0.4">
      <c r="A320" t="s">
        <v>14</v>
      </c>
      <c r="B320" t="s">
        <v>11</v>
      </c>
      <c r="C320">
        <v>48.4</v>
      </c>
      <c r="D320">
        <v>14.4</v>
      </c>
      <c r="E320">
        <v>203</v>
      </c>
      <c r="F320">
        <v>4625</v>
      </c>
      <c r="G320" t="s">
        <v>10</v>
      </c>
      <c r="H320">
        <f>IFERROR(penguins[[#This Row],[bill_length_mm]]/penguins[[#This Row],[bill_depth_mm]], "")</f>
        <v>3.3611111111111107</v>
      </c>
    </row>
    <row r="321" spans="1:8" x14ac:dyDescent="0.4">
      <c r="A321" t="s">
        <v>14</v>
      </c>
      <c r="B321" t="s">
        <v>11</v>
      </c>
      <c r="C321">
        <v>51.1</v>
      </c>
      <c r="D321">
        <v>16.5</v>
      </c>
      <c r="E321">
        <v>225</v>
      </c>
      <c r="F321">
        <v>5250</v>
      </c>
      <c r="G321" t="s">
        <v>9</v>
      </c>
      <c r="H321">
        <f>IFERROR(penguins[[#This Row],[bill_length_mm]]/penguins[[#This Row],[bill_depth_mm]], "")</f>
        <v>3.0969696969696972</v>
      </c>
    </row>
    <row r="322" spans="1:8" x14ac:dyDescent="0.4">
      <c r="A322" t="s">
        <v>14</v>
      </c>
      <c r="B322" t="s">
        <v>11</v>
      </c>
      <c r="C322">
        <v>48.5</v>
      </c>
      <c r="D322">
        <v>15</v>
      </c>
      <c r="E322">
        <v>219</v>
      </c>
      <c r="F322">
        <v>4850</v>
      </c>
      <c r="G322" t="s">
        <v>10</v>
      </c>
      <c r="H322">
        <f>IFERROR(penguins[[#This Row],[bill_length_mm]]/penguins[[#This Row],[bill_depth_mm]], "")</f>
        <v>3.2333333333333334</v>
      </c>
    </row>
    <row r="323" spans="1:8" x14ac:dyDescent="0.4">
      <c r="A323" t="s">
        <v>14</v>
      </c>
      <c r="B323" t="s">
        <v>11</v>
      </c>
      <c r="C323">
        <v>55.9</v>
      </c>
      <c r="D323">
        <v>17</v>
      </c>
      <c r="E323">
        <v>228</v>
      </c>
      <c r="F323">
        <v>5600</v>
      </c>
      <c r="G323" t="s">
        <v>9</v>
      </c>
      <c r="H323">
        <f>IFERROR(penguins[[#This Row],[bill_length_mm]]/penguins[[#This Row],[bill_depth_mm]], "")</f>
        <v>3.2882352941176469</v>
      </c>
    </row>
    <row r="324" spans="1:8" x14ac:dyDescent="0.4">
      <c r="A324" t="s">
        <v>14</v>
      </c>
      <c r="B324" t="s">
        <v>11</v>
      </c>
      <c r="C324">
        <v>47.2</v>
      </c>
      <c r="D324">
        <v>15.5</v>
      </c>
      <c r="E324">
        <v>215</v>
      </c>
      <c r="F324">
        <v>4975</v>
      </c>
      <c r="G324" t="s">
        <v>10</v>
      </c>
      <c r="H324">
        <f>IFERROR(penguins[[#This Row],[bill_length_mm]]/penguins[[#This Row],[bill_depth_mm]], "")</f>
        <v>3.0451612903225809</v>
      </c>
    </row>
    <row r="325" spans="1:8" x14ac:dyDescent="0.4">
      <c r="A325" t="s">
        <v>14</v>
      </c>
      <c r="B325" t="s">
        <v>11</v>
      </c>
      <c r="C325">
        <v>49.1</v>
      </c>
      <c r="D325">
        <v>15</v>
      </c>
      <c r="E325">
        <v>228</v>
      </c>
      <c r="F325">
        <v>5500</v>
      </c>
      <c r="G325" t="s">
        <v>9</v>
      </c>
      <c r="H325">
        <f>IFERROR(penguins[[#This Row],[bill_length_mm]]/penguins[[#This Row],[bill_depth_mm]], "")</f>
        <v>3.2733333333333334</v>
      </c>
    </row>
    <row r="326" spans="1:8" x14ac:dyDescent="0.4">
      <c r="A326" t="s">
        <v>14</v>
      </c>
      <c r="B326" t="s">
        <v>11</v>
      </c>
      <c r="C326">
        <v>47.3</v>
      </c>
      <c r="D326">
        <v>13.8</v>
      </c>
      <c r="E326">
        <v>216</v>
      </c>
      <c r="F326">
        <v>4725</v>
      </c>
      <c r="H326">
        <f>IFERROR(penguins[[#This Row],[bill_length_mm]]/penguins[[#This Row],[bill_depth_mm]], "")</f>
        <v>3.4275362318840576</v>
      </c>
    </row>
    <row r="327" spans="1:8" x14ac:dyDescent="0.4">
      <c r="A327" t="s">
        <v>14</v>
      </c>
      <c r="B327" t="s">
        <v>11</v>
      </c>
      <c r="C327">
        <v>46.8</v>
      </c>
      <c r="D327">
        <v>16.100000000000001</v>
      </c>
      <c r="E327">
        <v>215</v>
      </c>
      <c r="F327">
        <v>5500</v>
      </c>
      <c r="G327" t="s">
        <v>9</v>
      </c>
      <c r="H327">
        <f>IFERROR(penguins[[#This Row],[bill_length_mm]]/penguins[[#This Row],[bill_depth_mm]], "")</f>
        <v>2.9068322981366457</v>
      </c>
    </row>
    <row r="328" spans="1:8" x14ac:dyDescent="0.4">
      <c r="A328" t="s">
        <v>14</v>
      </c>
      <c r="B328" t="s">
        <v>11</v>
      </c>
      <c r="C328">
        <v>41.7</v>
      </c>
      <c r="D328">
        <v>14.7</v>
      </c>
      <c r="E328">
        <v>210</v>
      </c>
      <c r="F328">
        <v>4700</v>
      </c>
      <c r="G328" t="s">
        <v>10</v>
      </c>
      <c r="H328">
        <f>IFERROR(penguins[[#This Row],[bill_length_mm]]/penguins[[#This Row],[bill_depth_mm]], "")</f>
        <v>2.8367346938775513</v>
      </c>
    </row>
    <row r="329" spans="1:8" x14ac:dyDescent="0.4">
      <c r="A329" t="s">
        <v>14</v>
      </c>
      <c r="B329" t="s">
        <v>11</v>
      </c>
      <c r="C329">
        <v>53.4</v>
      </c>
      <c r="D329">
        <v>15.8</v>
      </c>
      <c r="E329">
        <v>219</v>
      </c>
      <c r="F329">
        <v>5500</v>
      </c>
      <c r="G329" t="s">
        <v>9</v>
      </c>
      <c r="H329">
        <f>IFERROR(penguins[[#This Row],[bill_length_mm]]/penguins[[#This Row],[bill_depth_mm]], "")</f>
        <v>3.3797468354430378</v>
      </c>
    </row>
    <row r="330" spans="1:8" x14ac:dyDescent="0.4">
      <c r="A330" t="s">
        <v>14</v>
      </c>
      <c r="B330" t="s">
        <v>11</v>
      </c>
      <c r="C330">
        <v>43.3</v>
      </c>
      <c r="D330">
        <v>14</v>
      </c>
      <c r="E330">
        <v>208</v>
      </c>
      <c r="F330">
        <v>4575</v>
      </c>
      <c r="G330" t="s">
        <v>10</v>
      </c>
      <c r="H330">
        <f>IFERROR(penguins[[#This Row],[bill_length_mm]]/penguins[[#This Row],[bill_depth_mm]], "")</f>
        <v>3.0928571428571425</v>
      </c>
    </row>
    <row r="331" spans="1:8" x14ac:dyDescent="0.4">
      <c r="A331" t="s">
        <v>14</v>
      </c>
      <c r="B331" t="s">
        <v>11</v>
      </c>
      <c r="C331">
        <v>48.1</v>
      </c>
      <c r="D331">
        <v>15.1</v>
      </c>
      <c r="E331">
        <v>209</v>
      </c>
      <c r="F331">
        <v>5500</v>
      </c>
      <c r="G331" t="s">
        <v>9</v>
      </c>
      <c r="H331">
        <f>IFERROR(penguins[[#This Row],[bill_length_mm]]/penguins[[#This Row],[bill_depth_mm]], "")</f>
        <v>3.185430463576159</v>
      </c>
    </row>
    <row r="332" spans="1:8" x14ac:dyDescent="0.4">
      <c r="A332" t="s">
        <v>14</v>
      </c>
      <c r="B332" t="s">
        <v>11</v>
      </c>
      <c r="C332">
        <v>50.5</v>
      </c>
      <c r="D332">
        <v>15.2</v>
      </c>
      <c r="E332">
        <v>216</v>
      </c>
      <c r="F332">
        <v>5000</v>
      </c>
      <c r="G332" t="s">
        <v>10</v>
      </c>
      <c r="H332">
        <f>IFERROR(penguins[[#This Row],[bill_length_mm]]/penguins[[#This Row],[bill_depth_mm]], "")</f>
        <v>3.3223684210526319</v>
      </c>
    </row>
    <row r="333" spans="1:8" x14ac:dyDescent="0.4">
      <c r="A333" t="s">
        <v>14</v>
      </c>
      <c r="B333" t="s">
        <v>11</v>
      </c>
      <c r="C333">
        <v>49.8</v>
      </c>
      <c r="D333">
        <v>15.9</v>
      </c>
      <c r="E333">
        <v>229</v>
      </c>
      <c r="F333">
        <v>5950</v>
      </c>
      <c r="G333" t="s">
        <v>9</v>
      </c>
      <c r="H333">
        <f>IFERROR(penguins[[#This Row],[bill_length_mm]]/penguins[[#This Row],[bill_depth_mm]], "")</f>
        <v>3.132075471698113</v>
      </c>
    </row>
    <row r="334" spans="1:8" x14ac:dyDescent="0.4">
      <c r="A334" t="s">
        <v>14</v>
      </c>
      <c r="B334" t="s">
        <v>11</v>
      </c>
      <c r="C334">
        <v>43.5</v>
      </c>
      <c r="D334">
        <v>15.2</v>
      </c>
      <c r="E334">
        <v>213</v>
      </c>
      <c r="F334">
        <v>4650</v>
      </c>
      <c r="G334" t="s">
        <v>10</v>
      </c>
      <c r="H334">
        <f>IFERROR(penguins[[#This Row],[bill_length_mm]]/penguins[[#This Row],[bill_depth_mm]], "")</f>
        <v>2.861842105263158</v>
      </c>
    </row>
    <row r="335" spans="1:8" x14ac:dyDescent="0.4">
      <c r="A335" t="s">
        <v>14</v>
      </c>
      <c r="B335" t="s">
        <v>11</v>
      </c>
      <c r="C335">
        <v>51.5</v>
      </c>
      <c r="D335">
        <v>16.3</v>
      </c>
      <c r="E335">
        <v>230</v>
      </c>
      <c r="F335">
        <v>5500</v>
      </c>
      <c r="G335" t="s">
        <v>9</v>
      </c>
      <c r="H335">
        <f>IFERROR(penguins[[#This Row],[bill_length_mm]]/penguins[[#This Row],[bill_depth_mm]], "")</f>
        <v>3.1595092024539877</v>
      </c>
    </row>
    <row r="336" spans="1:8" x14ac:dyDescent="0.4">
      <c r="A336" t="s">
        <v>14</v>
      </c>
      <c r="B336" t="s">
        <v>11</v>
      </c>
      <c r="C336">
        <v>46.2</v>
      </c>
      <c r="D336">
        <v>14.1</v>
      </c>
      <c r="E336">
        <v>217</v>
      </c>
      <c r="F336">
        <v>4375</v>
      </c>
      <c r="G336" t="s">
        <v>10</v>
      </c>
      <c r="H336">
        <f>IFERROR(penguins[[#This Row],[bill_length_mm]]/penguins[[#This Row],[bill_depth_mm]], "")</f>
        <v>3.2765957446808511</v>
      </c>
    </row>
    <row r="337" spans="1:8" x14ac:dyDescent="0.4">
      <c r="A337" t="s">
        <v>14</v>
      </c>
      <c r="B337" t="s">
        <v>11</v>
      </c>
      <c r="C337">
        <v>55.1</v>
      </c>
      <c r="D337">
        <v>16</v>
      </c>
      <c r="E337">
        <v>230</v>
      </c>
      <c r="F337">
        <v>5850</v>
      </c>
      <c r="G337" t="s">
        <v>9</v>
      </c>
      <c r="H337">
        <f>IFERROR(penguins[[#This Row],[bill_length_mm]]/penguins[[#This Row],[bill_depth_mm]], "")</f>
        <v>3.4437500000000001</v>
      </c>
    </row>
    <row r="338" spans="1:8" x14ac:dyDescent="0.4">
      <c r="A338" t="s">
        <v>14</v>
      </c>
      <c r="B338" t="s">
        <v>11</v>
      </c>
      <c r="C338">
        <v>44.5</v>
      </c>
      <c r="D338">
        <v>15.7</v>
      </c>
      <c r="E338">
        <v>217</v>
      </c>
      <c r="F338">
        <v>4875</v>
      </c>
      <c r="H338">
        <f>IFERROR(penguins[[#This Row],[bill_length_mm]]/penguins[[#This Row],[bill_depth_mm]], "")</f>
        <v>2.8343949044585988</v>
      </c>
    </row>
    <row r="339" spans="1:8" x14ac:dyDescent="0.4">
      <c r="A339" t="s">
        <v>14</v>
      </c>
      <c r="B339" t="s">
        <v>11</v>
      </c>
      <c r="C339">
        <v>48.8</v>
      </c>
      <c r="D339">
        <v>16.2</v>
      </c>
      <c r="E339">
        <v>222</v>
      </c>
      <c r="F339">
        <v>6000</v>
      </c>
      <c r="G339" t="s">
        <v>9</v>
      </c>
      <c r="H339">
        <f>IFERROR(penguins[[#This Row],[bill_length_mm]]/penguins[[#This Row],[bill_depth_mm]], "")</f>
        <v>3.0123456790123457</v>
      </c>
    </row>
    <row r="340" spans="1:8" x14ac:dyDescent="0.4">
      <c r="A340" t="s">
        <v>14</v>
      </c>
      <c r="B340" t="s">
        <v>11</v>
      </c>
      <c r="C340">
        <v>47.2</v>
      </c>
      <c r="D340">
        <v>13.7</v>
      </c>
      <c r="E340">
        <v>214</v>
      </c>
      <c r="F340">
        <v>4925</v>
      </c>
      <c r="G340" t="s">
        <v>10</v>
      </c>
      <c r="H340">
        <f>IFERROR(penguins[[#This Row],[bill_length_mm]]/penguins[[#This Row],[bill_depth_mm]], "")</f>
        <v>3.445255474452555</v>
      </c>
    </row>
    <row r="341" spans="1:8" x14ac:dyDescent="0.4">
      <c r="A341" t="s">
        <v>14</v>
      </c>
      <c r="B341" t="s">
        <v>11</v>
      </c>
      <c r="H341" t="str">
        <f>IFERROR(penguins[[#This Row],[bill_length_mm]]/penguins[[#This Row],[bill_depth_mm]], "")</f>
        <v/>
      </c>
    </row>
    <row r="342" spans="1:8" x14ac:dyDescent="0.4">
      <c r="A342" t="s">
        <v>14</v>
      </c>
      <c r="B342" t="s">
        <v>11</v>
      </c>
      <c r="C342">
        <v>46.8</v>
      </c>
      <c r="D342">
        <v>14.3</v>
      </c>
      <c r="E342">
        <v>215</v>
      </c>
      <c r="F342">
        <v>4850</v>
      </c>
      <c r="G342" t="s">
        <v>10</v>
      </c>
      <c r="H342">
        <f>IFERROR(penguins[[#This Row],[bill_length_mm]]/penguins[[#This Row],[bill_depth_mm]], "")</f>
        <v>3.2727272727272725</v>
      </c>
    </row>
    <row r="343" spans="1:8" x14ac:dyDescent="0.4">
      <c r="A343" t="s">
        <v>14</v>
      </c>
      <c r="B343" t="s">
        <v>11</v>
      </c>
      <c r="C343">
        <v>50.4</v>
      </c>
      <c r="D343">
        <v>15.7</v>
      </c>
      <c r="E343">
        <v>222</v>
      </c>
      <c r="F343">
        <v>5750</v>
      </c>
      <c r="G343" t="s">
        <v>9</v>
      </c>
      <c r="H343">
        <f>IFERROR(penguins[[#This Row],[bill_length_mm]]/penguins[[#This Row],[bill_depth_mm]], "")</f>
        <v>3.2101910828025479</v>
      </c>
    </row>
    <row r="344" spans="1:8" x14ac:dyDescent="0.4">
      <c r="A344" t="s">
        <v>14</v>
      </c>
      <c r="B344" t="s">
        <v>11</v>
      </c>
      <c r="C344">
        <v>45.2</v>
      </c>
      <c r="D344">
        <v>14.8</v>
      </c>
      <c r="E344">
        <v>212</v>
      </c>
      <c r="F344">
        <v>5200</v>
      </c>
      <c r="G344" t="s">
        <v>10</v>
      </c>
      <c r="H344">
        <f>IFERROR(penguins[[#This Row],[bill_length_mm]]/penguins[[#This Row],[bill_depth_mm]], "")</f>
        <v>3.0540540540540539</v>
      </c>
    </row>
    <row r="345" spans="1:8" x14ac:dyDescent="0.4">
      <c r="A345" t="s">
        <v>14</v>
      </c>
      <c r="B345" t="s">
        <v>11</v>
      </c>
      <c r="C345">
        <v>49.9</v>
      </c>
      <c r="D345">
        <v>16.100000000000001</v>
      </c>
      <c r="E345">
        <v>213</v>
      </c>
      <c r="F345">
        <v>5400</v>
      </c>
      <c r="G345" t="s">
        <v>9</v>
      </c>
      <c r="H345">
        <f>IFERROR(penguins[[#This Row],[bill_length_mm]]/penguins[[#This Row],[bill_depth_mm]], "")</f>
        <v>3.0993788819875774</v>
      </c>
    </row>
    <row r="346" spans="1:8" x14ac:dyDescent="0.4">
      <c r="A346" t="s">
        <v>16</v>
      </c>
      <c r="F346">
        <f>SUBTOTAL(101,penguins[body_mass_g])</f>
        <v>4201.7543859649122</v>
      </c>
      <c r="H346">
        <f>SUBTOTAL(103,penguins[bill_ratio])</f>
        <v>344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Shraddha kr</cp:lastModifiedBy>
  <dcterms:created xsi:type="dcterms:W3CDTF">2023-03-24T16:08:15Z</dcterms:created>
  <dcterms:modified xsi:type="dcterms:W3CDTF">2026-02-16T06:06:41Z</dcterms:modified>
</cp:coreProperties>
</file>