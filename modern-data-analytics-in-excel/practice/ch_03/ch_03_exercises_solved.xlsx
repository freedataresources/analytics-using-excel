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3\"/>
    </mc:Choice>
  </mc:AlternateContent>
  <xr:revisionPtr revIDLastSave="0" documentId="13_ncr:1_{67E87183-D9D1-4FCB-901B-88F4173AAA6C}" xr6:coauthVersionLast="47" xr6:coauthVersionMax="47" xr10:uidLastSave="{00000000-0000-0000-0000-000000000000}"/>
  <bookViews>
    <workbookView xWindow="-108" yWindow="-108" windowWidth="23256" windowHeight="12456" xr2:uid="{FCAB1A66-0099-44C2-A0E5-A8B6C271FDEC}"/>
  </bookViews>
  <sheets>
    <sheet name="states" sheetId="1" r:id="rId1"/>
    <sheet name="states_transformed" sheetId="5" r:id="rId2"/>
    <sheet name="states_pivottable" sheetId="7" r:id="rId3"/>
    <sheet name="midwest_cities" sheetId="2" r:id="rId4"/>
    <sheet name="cities_transformed" sheetId="8" r:id="rId5"/>
  </sheets>
  <definedNames>
    <definedName name="ExternalData_1" localSheetId="4" hidden="1">cities_transformed!$A$1:$B$21</definedName>
    <definedName name="ExternalData_1" localSheetId="1" hidden="1">states_transformed!$A$1:$D$52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3D281-D2D9-4AF1-8DBC-870A1FCA5574}" keepAlive="1" name="Query - states_transformed" description="Connection to the 'states_transformed' query in the workbook." type="5" refreshedVersion="0" background="1">
    <dbPr connection="Provider=Microsoft.Mashup.OleDb.1;Data Source=$Workbook$;Location=states_transformed;Extended Properties=&quot;&quot;" command="SELECT * FROM [states_transformed]"/>
  </connection>
  <connection id="2" xr16:uid="{394C1430-B2D6-4777-9E86-ADF6633DF1F6}" keepAlive="1" name="Query - states_transformed (2)" description="Connection to the 'states_transformed (2)' query in the workbook." type="5" refreshedVersion="8" background="1">
    <dbPr connection="Provider=Microsoft.Mashup.OleDb.1;Data Source=$Workbook$;Location=&quot;states_transformed (2)&quot;;Extended Properties=&quot;&quot;" command="SELECT * FROM [states_transformed (2)]"/>
  </connection>
  <connection id="3" xr16:uid="{AD8F97C5-EA99-4ACB-9B53-4041CC6F91A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<sst xmlns="http://schemas.openxmlformats.org/spreadsheetml/2006/main" count="344" uniqueCount="102">
  <si>
    <t>region</t>
  </si>
  <si>
    <t>division</t>
  </si>
  <si>
    <t>state</t>
  </si>
  <si>
    <t>population</t>
  </si>
  <si>
    <t>Midwest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</si>
  <si>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</si>
  <si>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</si>
  <si>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</si>
  <si>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</si>
  <si>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</si>
  <si>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</si>
  <si>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</si>
  <si>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</si>
  <si>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</si>
  <si>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</si>
  <si>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</si>
  <si>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</si>
  <si>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</si>
  <si>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</si>
  <si>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Northeast</t>
  </si>
  <si>
    <t>Middle Atlantic</t>
  </si>
  <si>
    <t>New Jersey</t>
  </si>
  <si>
    <t>New York</t>
  </si>
  <si>
    <t>Pennsylvania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</si>
  <si>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</si>
  <si>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</si>
  <si>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</si>
  <si>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</si>
  <si>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</si>
  <si>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</si>
  <si>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</si>
  <si>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South</t>
  </si>
  <si>
    <t>East South Central</t>
  </si>
  <si>
    <t>Alabama</t>
  </si>
  <si>
    <t>Kentucky</t>
  </si>
  <si>
    <t>Mississippi</t>
  </si>
  <si>
    <t>Tennessee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</si>
  <si>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</si>
  <si>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</si>
  <si>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</si>
  <si>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</si>
  <si>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</si>
  <si>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</si>
  <si>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</si>
  <si>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</si>
  <si>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</si>
  <si>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</si>
  <si>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West South Central</t>
  </si>
  <si>
    <t>Arkansas</t>
  </si>
  <si>
    <t>Louisiana</t>
  </si>
  <si>
    <t>Oklahoma</t>
  </si>
  <si>
    <t>Texas</t>
  </si>
  <si>
    <t>West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</si>
  <si>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</si>
  <si>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</si>
  <si>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</si>
  <si>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</si>
  <si>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</si>
  <si>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</si>
  <si>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</si>
  <si>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</si>
  <si>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</si>
  <si>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</t>
  </si>
  <si>
    <t>Alaska</t>
  </si>
  <si>
    <t>California</t>
  </si>
  <si>
    <t>Hawaii</t>
  </si>
  <si>
    <t>Oregon</t>
  </si>
  <si>
    <t>Washington</t>
  </si>
  <si>
    <t>United States</t>
  </si>
  <si>
    <t>State</t>
  </si>
  <si>
    <t>Cities</t>
  </si>
  <si>
    <t>Milwaukee, Madison</t>
  </si>
  <si>
    <t>Columbus, Cleveland, Cincinnati, Toledo</t>
  </si>
  <si>
    <t>Omaha, Lincoln</t>
  </si>
  <si>
    <t>Kansas City, St Louis</t>
  </si>
  <si>
    <t>Minneapolis, St Paul</t>
  </si>
  <si>
    <t>Detroit, Grand Rapids</t>
  </si>
  <si>
    <t>Wichita</t>
  </si>
  <si>
    <t>Des Moines</t>
  </si>
  <si>
    <t>Indianapolis, Fort Wayne</t>
  </si>
  <si>
    <t>Chicago, Aurora</t>
  </si>
  <si>
    <t>Sum of population</t>
  </si>
  <si>
    <t>Row Labels</t>
  </si>
  <si>
    <t>Grand Total</t>
  </si>
  <si>
    <t>Milwaukee</t>
  </si>
  <si>
    <t xml:space="preserve"> Madison</t>
  </si>
  <si>
    <t>Columbus</t>
  </si>
  <si>
    <t xml:space="preserve"> Cleveland</t>
  </si>
  <si>
    <t xml:space="preserve"> Cincinnati</t>
  </si>
  <si>
    <t xml:space="preserve"> Toledo</t>
  </si>
  <si>
    <t>Omaha</t>
  </si>
  <si>
    <t xml:space="preserve"> Lincoln</t>
  </si>
  <si>
    <t>Kansas City</t>
  </si>
  <si>
    <t xml:space="preserve"> St Louis</t>
  </si>
  <si>
    <t>Minneapolis</t>
  </si>
  <si>
    <t xml:space="preserve"> St Paul</t>
  </si>
  <si>
    <t>Detroit</t>
  </si>
  <si>
    <t xml:space="preserve"> Grand Rapids</t>
  </si>
  <si>
    <t>Indianapolis</t>
  </si>
  <si>
    <t xml:space="preserve"> Fort Wayne</t>
  </si>
  <si>
    <t>Chicago</t>
  </si>
  <si>
    <t xml:space="preserve"> Aurora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</si>
</sst>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0</xdr:row>
      <xdr:rowOff>106680</xdr:rowOff>
    </xdr:from>
    <xdr:to>
      <xdr:col>10</xdr:col>
      <xdr:colOff>47950</xdr:colOff>
      <xdr:row>12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5855C0-3051-4FC6-BA2B-A0835CA0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3820" y="106680"/>
          <a:ext cx="3644590" cy="2263140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0</xdr:row>
      <xdr:rowOff>0</xdr:rowOff>
    </xdr:from>
    <xdr:to>
      <xdr:col>16</xdr:col>
      <xdr:colOff>15240</xdr:colOff>
      <xdr:row>16</xdr:row>
      <xdr:rowOff>42102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849E7D-F101-31E0-5873-8791B807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0"/>
          <a:ext cx="3581400" cy="296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6.49745127315" backgroundQuery="1" createdVersion="8" refreshedVersion="8" minRefreshableVersion="3" recordCount="51" xr:uid="{D15876AD-6B49-4436-9FB1-9619EC8F7511}">
  <cacheSource type="external" connectionId="2"/>
  <cacheFields count="4">
    <cacheField name="region" numFmtId="0">
      <sharedItems count="4">
        <s v="West"/>
        <s v="Northeast"/>
        <s v="South"/>
        <s v="Midwest"/>
      </sharedItems>
    </cacheField>
    <cacheField name="division" numFmtId="0">
      <sharedItems count="9">
        <s v="Mountain"/>
        <s v="New England"/>
        <s v="South Atlantic"/>
        <s v="Pacific"/>
        <s v="West North Central"/>
        <s v="West South Central"/>
        <s v="East South Central"/>
        <s v="East North Central"/>
        <s v="Middle Atlantic"/>
      </sharedItems>
    </cacheField>
    <cacheField name="state" numFmtId="0">
      <sharedItems count="51">
        <s v="Wyoming"/>
        <s v="Vermont"/>
        <s v="District of Columbia"/>
        <s v="Alaska"/>
        <s v="North Dakota"/>
        <s v="South Dakota"/>
        <s v="Delaware"/>
        <s v="Montana"/>
        <s v="Rhode Island"/>
        <s v="Maine"/>
        <s v="New Hampshire"/>
        <s v="Hawaii"/>
        <s v="Idaho"/>
        <s v="West Virginia"/>
        <s v="Nebraska"/>
        <s v="New Mexico"/>
        <s v="Kansas"/>
        <s v="Nevada"/>
        <s v="Arkansas"/>
        <s v="Mississippi"/>
        <s v="Utah"/>
        <s v="Iowa"/>
        <s v="Connecticut"/>
        <s v="Oklahoma"/>
        <s v="Oregon"/>
        <s v="Kentucky"/>
        <s v="Louisiana"/>
        <s v="Alabama"/>
        <s v="South Carolina"/>
        <s v="Minnesota"/>
        <s v="Colorado"/>
        <s v="Wisconsin"/>
        <s v="Maryland"/>
        <s v="Missouri"/>
        <s v="Indiana"/>
        <s v="Tennessee"/>
        <s v="Massachusetts"/>
        <s v="Arizona"/>
        <s v="Washington"/>
        <s v="Virginia"/>
        <s v="New Jersey"/>
        <s v="Michigan"/>
        <s v="North Carolina"/>
        <s v="Georgia"/>
        <s v="Ohio"/>
        <s v="Pennsylvania"/>
        <s v="Illinois"/>
        <s v="New York"/>
        <s v="Florida"/>
        <s v="Texas"/>
        <s v="California"/>
      </sharedItems>
    </cacheField>
    <cacheField name="population" numFmtId="0">
      <sharedItems containsSemiMixedTypes="0" containsString="0" containsNumber="1" containsInteger="1" minValue="585501" maxValue="39250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n v="585501"/>
  </r>
  <r>
    <x v="1"/>
    <x v="1"/>
    <x v="1"/>
    <n v="624594"/>
  </r>
  <r>
    <x v="2"/>
    <x v="2"/>
    <x v="2"/>
    <n v="681170"/>
  </r>
  <r>
    <x v="0"/>
    <x v="3"/>
    <x v="3"/>
    <n v="741894"/>
  </r>
  <r>
    <x v="3"/>
    <x v="4"/>
    <x v="4"/>
    <n v="757952"/>
  </r>
  <r>
    <x v="3"/>
    <x v="4"/>
    <x v="5"/>
    <n v="865454"/>
  </r>
  <r>
    <x v="2"/>
    <x v="2"/>
    <x v="6"/>
    <n v="952065"/>
  </r>
  <r>
    <x v="0"/>
    <x v="0"/>
    <x v="7"/>
    <n v="1042520"/>
  </r>
  <r>
    <x v="1"/>
    <x v="1"/>
    <x v="8"/>
    <n v="1056426"/>
  </r>
  <r>
    <x v="1"/>
    <x v="1"/>
    <x v="9"/>
    <n v="1331479"/>
  </r>
  <r>
    <x v="1"/>
    <x v="1"/>
    <x v="10"/>
    <n v="1334795"/>
  </r>
  <r>
    <x v="0"/>
    <x v="3"/>
    <x v="11"/>
    <n v="1428557"/>
  </r>
  <r>
    <x v="0"/>
    <x v="0"/>
    <x v="12"/>
    <n v="1683140"/>
  </r>
  <r>
    <x v="2"/>
    <x v="2"/>
    <x v="13"/>
    <n v="1831102"/>
  </r>
  <r>
    <x v="3"/>
    <x v="4"/>
    <x v="14"/>
    <n v="1907116"/>
  </r>
  <r>
    <x v="0"/>
    <x v="0"/>
    <x v="15"/>
    <n v="2081015"/>
  </r>
  <r>
    <x v="3"/>
    <x v="4"/>
    <x v="16"/>
    <n v="2907289"/>
  </r>
  <r>
    <x v="0"/>
    <x v="0"/>
    <x v="17"/>
    <n v="2940058"/>
  </r>
  <r>
    <x v="2"/>
    <x v="5"/>
    <x v="18"/>
    <n v="2988248"/>
  </r>
  <r>
    <x v="2"/>
    <x v="6"/>
    <x v="19"/>
    <n v="2988726"/>
  </r>
  <r>
    <x v="0"/>
    <x v="0"/>
    <x v="20"/>
    <n v="3051217"/>
  </r>
  <r>
    <x v="3"/>
    <x v="4"/>
    <x v="21"/>
    <n v="3134693"/>
  </r>
  <r>
    <x v="1"/>
    <x v="1"/>
    <x v="22"/>
    <n v="3576452"/>
  </r>
  <r>
    <x v="2"/>
    <x v="5"/>
    <x v="23"/>
    <n v="3923561"/>
  </r>
  <r>
    <x v="0"/>
    <x v="3"/>
    <x v="24"/>
    <n v="4093465"/>
  </r>
  <r>
    <x v="2"/>
    <x v="6"/>
    <x v="25"/>
    <n v="4436974"/>
  </r>
  <r>
    <x v="2"/>
    <x v="5"/>
    <x v="26"/>
    <n v="4681666"/>
  </r>
  <r>
    <x v="2"/>
    <x v="6"/>
    <x v="27"/>
    <n v="4863300"/>
  </r>
  <r>
    <x v="2"/>
    <x v="2"/>
    <x v="28"/>
    <n v="4961119"/>
  </r>
  <r>
    <x v="3"/>
    <x v="4"/>
    <x v="29"/>
    <n v="5519952"/>
  </r>
  <r>
    <x v="0"/>
    <x v="0"/>
    <x v="30"/>
    <n v="5540545"/>
  </r>
  <r>
    <x v="3"/>
    <x v="7"/>
    <x v="31"/>
    <n v="5778708"/>
  </r>
  <r>
    <x v="2"/>
    <x v="2"/>
    <x v="32"/>
    <n v="6016447"/>
  </r>
  <r>
    <x v="3"/>
    <x v="4"/>
    <x v="33"/>
    <n v="6093000"/>
  </r>
  <r>
    <x v="3"/>
    <x v="7"/>
    <x v="34"/>
    <n v="6633053"/>
  </r>
  <r>
    <x v="2"/>
    <x v="6"/>
    <x v="35"/>
    <n v="6651194"/>
  </r>
  <r>
    <x v="1"/>
    <x v="1"/>
    <x v="36"/>
    <n v="6811779"/>
  </r>
  <r>
    <x v="0"/>
    <x v="0"/>
    <x v="37"/>
    <n v="6931071"/>
  </r>
  <r>
    <x v="0"/>
    <x v="3"/>
    <x v="38"/>
    <n v="7288000"/>
  </r>
  <r>
    <x v="2"/>
    <x v="2"/>
    <x v="39"/>
    <n v="8411808"/>
  </r>
  <r>
    <x v="1"/>
    <x v="8"/>
    <x v="40"/>
    <n v="8944469"/>
  </r>
  <r>
    <x v="3"/>
    <x v="7"/>
    <x v="41"/>
    <n v="9928300"/>
  </r>
  <r>
    <x v="2"/>
    <x v="2"/>
    <x v="42"/>
    <n v="10146788"/>
  </r>
  <r>
    <x v="2"/>
    <x v="2"/>
    <x v="43"/>
    <n v="10310371"/>
  </r>
  <r>
    <x v="3"/>
    <x v="7"/>
    <x v="44"/>
    <n v="11614373"/>
  </r>
  <r>
    <x v="1"/>
    <x v="8"/>
    <x v="45"/>
    <n v="12784227"/>
  </r>
  <r>
    <x v="3"/>
    <x v="7"/>
    <x v="46"/>
    <n v="12801539"/>
  </r>
  <r>
    <x v="1"/>
    <x v="8"/>
    <x v="47"/>
    <n v="19745289"/>
  </r>
  <r>
    <x v="2"/>
    <x v="2"/>
    <x v="48"/>
    <n v="20612439"/>
  </r>
  <r>
    <x v="2"/>
    <x v="5"/>
    <x v="49"/>
    <n v="27862596"/>
  </r>
  <r>
    <x v="0"/>
    <x v="3"/>
    <x v="50"/>
    <n v="39250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3C65F-FE69-469C-8800-C6CD592C9C2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53" firstHeaderRow="1" firstDataRow="1" firstDataCol="1"/>
  <pivotFields count="4">
    <pivotField showAll="0"/>
    <pivotField showAll="0"/>
    <pivotField axis="axisRow" showAll="0">
      <items count="52">
        <item x="27"/>
        <item x="3"/>
        <item x="37"/>
        <item x="18"/>
        <item x="50"/>
        <item x="30"/>
        <item x="22"/>
        <item x="6"/>
        <item x="2"/>
        <item x="48"/>
        <item x="43"/>
        <item x="11"/>
        <item x="12"/>
        <item x="46"/>
        <item x="34"/>
        <item x="21"/>
        <item x="16"/>
        <item x="25"/>
        <item x="26"/>
        <item x="9"/>
        <item x="32"/>
        <item x="36"/>
        <item x="41"/>
        <item x="29"/>
        <item x="19"/>
        <item x="33"/>
        <item x="7"/>
        <item x="14"/>
        <item x="17"/>
        <item x="10"/>
        <item x="40"/>
        <item x="15"/>
        <item x="47"/>
        <item x="42"/>
        <item x="4"/>
        <item x="44"/>
        <item x="23"/>
        <item x="24"/>
        <item x="45"/>
        <item x="8"/>
        <item x="28"/>
        <item x="5"/>
        <item x="35"/>
        <item x="49"/>
        <item x="20"/>
        <item x="1"/>
        <item x="39"/>
        <item x="38"/>
        <item x="13"/>
        <item x="31"/>
        <item x="0"/>
        <item t="default"/>
      </items>
    </pivotField>
    <pivotField dataField="1"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popula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5F4AA3-002E-4566-9A5C-17C486CBAA8B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Cities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5612E-76B6-478A-BFD2-FE76686E5FE2}" name="Table1" displayName="Table1" ref="A1:D53" totalsRowShown="0">
  <autoFilter ref="A1:D53" xr:uid="{669A75B9-99E1-4069-9173-66EFEC9C1988}"/>
  <tableColumns count="4">
    <tableColumn id="1" xr3:uid="{B14C131F-05F6-4C49-A308-E228B57265D9}" name="region"/>
    <tableColumn id="2" xr3:uid="{6B1CE0D6-1B3D-427D-A81B-1C9DAA56E77C}" name="division"/>
    <tableColumn id="3" xr3:uid="{42304DEE-2662-419E-B51F-73F74D4155E2}" name="state"/>
    <tableColumn id="4" xr3:uid="{7002CA56-49FD-42AD-BBBF-CF777F22E4DE}" name="popul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681073-A167-4633-8A6D-76DFE26D6CCF}" name="states_transformed" displayName="states_transformed" ref="A1:D52" totalsRowShown="0">
  <autoFilter ref="A1:D52" xr:uid="{9D681073-A167-4633-8A6D-76DFE26D6CCF}"/>
  <tableColumns count="4">
    <tableColumn id="1" xr3:uid="{D426AA4E-3767-4908-B600-A8485B4D2D70}" name="region" dataDxfId="4"/>
    <tableColumn id="2" xr3:uid="{54EE9DAE-C431-4AAE-922C-9E333A10291A}" name="division" dataDxfId="3"/>
    <tableColumn id="3" xr3:uid="{62BAED2C-220B-4FA8-94B4-0431F7F31D8A}" name="state" dataDxfId="2"/>
    <tableColumn id="4" xr3:uid="{1B36E56A-2D29-47F6-998F-52BD931AF047}" name="populatio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5CB05E-121B-4CBF-9746-14A9B3476657}" name="Table3" displayName="Table3" ref="A1:B11" totalsRowShown="0">
  <autoFilter ref="A1:B11" xr:uid="{FB5CB05E-121B-4CBF-9746-14A9B3476657}"/>
  <tableColumns count="2">
    <tableColumn id="1" xr3:uid="{0E504FE1-35EC-400C-B94A-2E000309F2C4}" name="State"/>
    <tableColumn id="2" xr3:uid="{25F1E599-7ECB-4269-BD02-D79C6C6E298D}" name="Cit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A25CD7-B55F-4683-8BAA-BEFA54B6CFE4}" name="Table3_1" displayName="Table3_1" ref="A1:B21" tableType="queryTable" totalsRowShown="0">
  <autoFilter ref="A1:B21" xr:uid="{B4A25CD7-B55F-4683-8BAA-BEFA54B6CFE4}"/>
  <tableColumns count="2">
    <tableColumn id="1" xr3:uid="{6D7BF4F8-BD19-448A-B88F-BC434647D244}" uniqueName="1" name="State" queryTableFieldId="1" dataDxfId="1"/>
    <tableColumn id="2" xr3:uid="{E7B25CB5-A184-434D-BE63-C46D547092ED}" uniqueName="2" name="Citie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195D-6C9B-42AB-9327-DB9E6BBC2D19}">
  <dimension ref="A1:D53"/>
  <sheetViews>
    <sheetView tabSelected="1" workbookViewId="0">
      <selection activeCell="A53" sqref="A53"/>
    </sheetView>
  </sheetViews>
  <sheetFormatPr defaultRowHeight="14.4" x14ac:dyDescent="0.3"/>
  <cols>
    <col min="1" max="1" width="11.88671875" bestFit="1" customWidth="1"/>
    <col min="2" max="2" width="16.88671875" bestFit="1" customWidth="1"/>
    <col min="3" max="3" width="17.2187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12801539</v>
      </c>
    </row>
    <row r="3" spans="1:4" x14ac:dyDescent="0.3">
      <c r="C3" t="s">
        <v>7</v>
      </c>
      <c r="D3">
        <v>6633053</v>
      </c>
    </row>
    <row r="4" spans="1:4" x14ac:dyDescent="0.3">
      <c r="C4" t="s">
        <v>8</v>
      </c>
      <c r="D4">
        <v>9928300</v>
      </c>
    </row>
    <row r="5" spans="1:4" x14ac:dyDescent="0.3">
      <c r="C5" t="s">
        <v>9</v>
      </c>
      <c r="D5">
        <v>11614373</v>
      </c>
    </row>
    <row r="6" spans="1:4" x14ac:dyDescent="0.3">
      <c r="C6" t="s">
        <v>10</v>
      </c>
      <c r="D6">
        <v>5778708</v>
      </c>
    </row>
    <row r="7" spans="1:4" x14ac:dyDescent="0.3">
      <c r="B7" t="s">
        <v>11</v>
      </c>
      <c r="C7" t="s">
        <v>12</v>
      </c>
      <c r="D7">
        <v>3134693</v>
      </c>
    </row>
    <row r="8" spans="1:4" x14ac:dyDescent="0.3">
      <c r="C8" t="s">
        <v>13</v>
      </c>
      <c r="D8">
        <v>2907289</v>
      </c>
    </row>
    <row r="9" spans="1:4" x14ac:dyDescent="0.3">
      <c r="C9" t="s">
        <v>14</v>
      </c>
      <c r="D9">
        <v>5519952</v>
      </c>
    </row>
    <row r="10" spans="1:4" x14ac:dyDescent="0.3">
      <c r="C10" t="s">
        <v>15</v>
      </c>
      <c r="D10">
        <v>6093000</v>
      </c>
    </row>
    <row r="11" spans="1:4" x14ac:dyDescent="0.3">
      <c r="C11" t="s">
        <v>16</v>
      </c>
      <c r="D11">
        <v>1907116</v>
      </c>
    </row>
    <row r="12" spans="1:4" x14ac:dyDescent="0.3">
      <c r="C12" t="s">
        <v>17</v>
      </c>
      <c r="D12">
        <v>757952</v>
      </c>
    </row>
    <row r="13" spans="1:4" x14ac:dyDescent="0.3">
      <c r="C13" t="s">
        <v>18</v>
      </c>
      <c r="D13">
        <v>865454</v>
      </c>
    </row>
    <row r="14" spans="1:4" x14ac:dyDescent="0.3">
      <c r="A14" t="s">
        <v>19</v>
      </c>
      <c r="B14" t="s">
        <v>20</v>
      </c>
      <c r="C14" t="s">
        <v>21</v>
      </c>
      <c r="D14">
        <v>8944469</v>
      </c>
    </row>
    <row r="15" spans="1:4" x14ac:dyDescent="0.3">
      <c r="C15" t="s">
        <v>22</v>
      </c>
      <c r="D15">
        <v>19745289</v>
      </c>
    </row>
    <row r="16" spans="1:4" x14ac:dyDescent="0.3">
      <c r="C16" t="s">
        <v>23</v>
      </c>
      <c r="D16">
        <v>12784227</v>
      </c>
    </row>
    <row r="17" spans="1:4" x14ac:dyDescent="0.3">
      <c r="B17" t="s">
        <v>24</v>
      </c>
      <c r="C17" t="s">
        <v>25</v>
      </c>
      <c r="D17">
        <v>3576452</v>
      </c>
    </row>
    <row r="18" spans="1:4" x14ac:dyDescent="0.3">
      <c r="C18" t="s">
        <v>26</v>
      </c>
      <c r="D18">
        <v>1331479</v>
      </c>
    </row>
    <row r="19" spans="1:4" x14ac:dyDescent="0.3">
      <c r="C19" t="s">
        <v>27</v>
      </c>
      <c r="D19">
        <v>6811779</v>
      </c>
    </row>
    <row r="20" spans="1:4" x14ac:dyDescent="0.3">
      <c r="C20" t="s">
        <v>28</v>
      </c>
      <c r="D20">
        <v>1334795</v>
      </c>
    </row>
    <row r="21" spans="1:4" x14ac:dyDescent="0.3">
      <c r="C21" t="s">
        <v>29</v>
      </c>
      <c r="D21">
        <v>1056426</v>
      </c>
    </row>
    <row r="22" spans="1:4" x14ac:dyDescent="0.3">
      <c r="C22" t="s">
        <v>30</v>
      </c>
      <c r="D22">
        <v>624594</v>
      </c>
    </row>
    <row r="23" spans="1:4" x14ac:dyDescent="0.3">
      <c r="A23" t="s">
        <v>31</v>
      </c>
      <c r="B23" t="s">
        <v>32</v>
      </c>
      <c r="C23" t="s">
        <v>33</v>
      </c>
      <c r="D23">
        <v>4863300</v>
      </c>
    </row>
    <row r="24" spans="1:4" x14ac:dyDescent="0.3">
      <c r="C24" t="s">
        <v>34</v>
      </c>
      <c r="D24">
        <v>4436974</v>
      </c>
    </row>
    <row r="25" spans="1:4" x14ac:dyDescent="0.3">
      <c r="C25" t="s">
        <v>35</v>
      </c>
      <c r="D25">
        <v>2988726</v>
      </c>
    </row>
    <row r="26" spans="1:4" x14ac:dyDescent="0.3">
      <c r="C26" t="s">
        <v>36</v>
      </c>
      <c r="D26">
        <v>6651194</v>
      </c>
    </row>
    <row r="27" spans="1:4" x14ac:dyDescent="0.3">
      <c r="B27" t="s">
        <v>37</v>
      </c>
      <c r="C27" t="s">
        <v>38</v>
      </c>
      <c r="D27">
        <v>952065</v>
      </c>
    </row>
    <row r="28" spans="1:4" x14ac:dyDescent="0.3">
      <c r="C28" t="s">
        <v>39</v>
      </c>
      <c r="D28">
        <v>681170</v>
      </c>
    </row>
    <row r="29" spans="1:4" x14ac:dyDescent="0.3">
      <c r="C29" t="s">
        <v>40</v>
      </c>
      <c r="D29">
        <v>20612439</v>
      </c>
    </row>
    <row r="30" spans="1:4" x14ac:dyDescent="0.3">
      <c r="C30" t="s">
        <v>41</v>
      </c>
      <c r="D30">
        <v>10310371</v>
      </c>
    </row>
    <row r="31" spans="1:4" x14ac:dyDescent="0.3">
      <c r="C31" t="s">
        <v>42</v>
      </c>
      <c r="D31">
        <v>6016447</v>
      </c>
    </row>
    <row r="32" spans="1:4" x14ac:dyDescent="0.3">
      <c r="C32" t="s">
        <v>43</v>
      </c>
      <c r="D32">
        <v>10146788</v>
      </c>
    </row>
    <row r="33" spans="1:4" x14ac:dyDescent="0.3">
      <c r="C33" t="s">
        <v>44</v>
      </c>
      <c r="D33">
        <v>4961119</v>
      </c>
    </row>
    <row r="34" spans="1:4" x14ac:dyDescent="0.3">
      <c r="C34" t="s">
        <v>45</v>
      </c>
      <c r="D34">
        <v>8411808</v>
      </c>
    </row>
    <row r="35" spans="1:4" x14ac:dyDescent="0.3">
      <c r="C35" t="s">
        <v>46</v>
      </c>
      <c r="D35">
        <v>1831102</v>
      </c>
    </row>
    <row r="36" spans="1:4" x14ac:dyDescent="0.3">
      <c r="B36" t="s">
        <v>47</v>
      </c>
      <c r="C36" t="s">
        <v>48</v>
      </c>
      <c r="D36">
        <v>2988248</v>
      </c>
    </row>
    <row r="37" spans="1:4" x14ac:dyDescent="0.3">
      <c r="C37" t="s">
        <v>49</v>
      </c>
      <c r="D37">
        <v>4681666</v>
      </c>
    </row>
    <row r="38" spans="1:4" x14ac:dyDescent="0.3">
      <c r="C38" t="s">
        <v>50</v>
      </c>
      <c r="D38">
        <v>3923561</v>
      </c>
    </row>
    <row r="39" spans="1:4" x14ac:dyDescent="0.3">
      <c r="C39" t="s">
        <v>51</v>
      </c>
      <c r="D39">
        <v>27862596</v>
      </c>
    </row>
    <row r="40" spans="1:4" x14ac:dyDescent="0.3">
      <c r="A40" t="s">
        <v>52</v>
      </c>
      <c r="B40" t="s">
        <v>53</v>
      </c>
      <c r="C40" t="s">
        <v>54</v>
      </c>
      <c r="D40">
        <v>6931071</v>
      </c>
    </row>
    <row r="41" spans="1:4" x14ac:dyDescent="0.3">
      <c r="C41" t="s">
        <v>55</v>
      </c>
      <c r="D41">
        <v>5540545</v>
      </c>
    </row>
    <row r="42" spans="1:4" x14ac:dyDescent="0.3">
      <c r="C42" t="s">
        <v>56</v>
      </c>
      <c r="D42">
        <v>1683140</v>
      </c>
    </row>
    <row r="43" spans="1:4" x14ac:dyDescent="0.3">
      <c r="C43" t="s">
        <v>57</v>
      </c>
      <c r="D43">
        <v>1042520</v>
      </c>
    </row>
    <row r="44" spans="1:4" x14ac:dyDescent="0.3">
      <c r="C44" t="s">
        <v>58</v>
      </c>
      <c r="D44">
        <v>2940058</v>
      </c>
    </row>
    <row r="45" spans="1:4" x14ac:dyDescent="0.3">
      <c r="C45" t="s">
        <v>59</v>
      </c>
      <c r="D45">
        <v>2081015</v>
      </c>
    </row>
    <row r="46" spans="1:4" x14ac:dyDescent="0.3">
      <c r="C46" t="s">
        <v>60</v>
      </c>
      <c r="D46">
        <v>3051217</v>
      </c>
    </row>
    <row r="47" spans="1:4" x14ac:dyDescent="0.3">
      <c r="C47" t="s">
        <v>61</v>
      </c>
      <c r="D47">
        <v>585501</v>
      </c>
    </row>
    <row r="48" spans="1:4" x14ac:dyDescent="0.3">
      <c r="B48" t="s">
        <v>62</v>
      </c>
      <c r="C48" t="s">
        <v>63</v>
      </c>
      <c r="D48">
        <v>741894</v>
      </c>
    </row>
    <row r="49" spans="1:4" x14ac:dyDescent="0.3">
      <c r="C49" t="s">
        <v>64</v>
      </c>
      <c r="D49">
        <v>39250017</v>
      </c>
    </row>
    <row r="50" spans="1:4" x14ac:dyDescent="0.3">
      <c r="C50" t="s">
        <v>65</v>
      </c>
      <c r="D50">
        <v>1428557</v>
      </c>
    </row>
    <row r="51" spans="1:4" x14ac:dyDescent="0.3">
      <c r="C51" t="s">
        <v>66</v>
      </c>
      <c r="D51">
        <v>4093465</v>
      </c>
    </row>
    <row r="52" spans="1:4" x14ac:dyDescent="0.3">
      <c r="C52" t="s">
        <v>67</v>
      </c>
      <c r="D52">
        <v>7288000</v>
      </c>
    </row>
    <row r="53" spans="1:4" x14ac:dyDescent="0.3">
      <c r="A53" t="s">
        <v>68</v>
      </c>
      <c r="D53">
        <f>SUM(D2:D52)</f>
        <v>323127513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16E1-E7FE-4B5D-BAC4-420238E81700}">
  <dimension ref="A1:D52"/>
  <sheetViews>
    <sheetView workbookViewId="0">
      <selection activeCell="B9" sqref="B9"/>
    </sheetView>
  </sheetViews>
  <sheetFormatPr defaultRowHeight="14.4" x14ac:dyDescent="0.3"/>
  <cols>
    <col min="1" max="1" width="9.21875" bestFit="1" customWidth="1"/>
    <col min="2" max="2" width="16.88671875" bestFit="1" customWidth="1"/>
    <col min="3" max="3" width="17.33203125" bestFit="1" customWidth="1"/>
    <col min="4" max="4" width="12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52</v>
      </c>
      <c r="B2" t="s">
        <v>53</v>
      </c>
      <c r="C2" t="s">
        <v>61</v>
      </c>
      <c r="D2">
        <v>585501</v>
      </c>
    </row>
    <row r="3" spans="1:4" x14ac:dyDescent="0.3">
      <c r="A3" t="s">
        <v>19</v>
      </c>
      <c r="B3" t="s">
        <v>24</v>
      </c>
      <c r="C3" t="s">
        <v>30</v>
      </c>
      <c r="D3">
        <v>624594</v>
      </c>
    </row>
    <row r="4" spans="1:4" x14ac:dyDescent="0.3">
      <c r="A4" t="s">
        <v>31</v>
      </c>
      <c r="B4" t="s">
        <v>37</v>
      </c>
      <c r="C4" t="s">
        <v>39</v>
      </c>
      <c r="D4">
        <v>681170</v>
      </c>
    </row>
    <row r="5" spans="1:4" x14ac:dyDescent="0.3">
      <c r="A5" t="s">
        <v>52</v>
      </c>
      <c r="B5" t="s">
        <v>62</v>
      </c>
      <c r="C5" t="s">
        <v>63</v>
      </c>
      <c r="D5">
        <v>741894</v>
      </c>
    </row>
    <row r="6" spans="1:4" x14ac:dyDescent="0.3">
      <c r="A6" t="s">
        <v>4</v>
      </c>
      <c r="B6" t="s">
        <v>11</v>
      </c>
      <c r="C6" t="s">
        <v>17</v>
      </c>
      <c r="D6">
        <v>757952</v>
      </c>
    </row>
    <row r="7" spans="1:4" x14ac:dyDescent="0.3">
      <c r="A7" t="s">
        <v>4</v>
      </c>
      <c r="B7" t="s">
        <v>11</v>
      </c>
      <c r="C7" t="s">
        <v>18</v>
      </c>
      <c r="D7">
        <v>865454</v>
      </c>
    </row>
    <row r="8" spans="1:4" x14ac:dyDescent="0.3">
      <c r="A8" t="s">
        <v>31</v>
      </c>
      <c r="B8" t="s">
        <v>37</v>
      </c>
      <c r="C8" t="s">
        <v>38</v>
      </c>
      <c r="D8">
        <v>952065</v>
      </c>
    </row>
    <row r="9" spans="1:4" x14ac:dyDescent="0.3">
      <c r="A9" t="s">
        <v>52</v>
      </c>
      <c r="B9" t="s">
        <v>53</v>
      </c>
      <c r="C9" t="s">
        <v>57</v>
      </c>
      <c r="D9">
        <v>1042520</v>
      </c>
    </row>
    <row r="10" spans="1:4" x14ac:dyDescent="0.3">
      <c r="A10" t="s">
        <v>19</v>
      </c>
      <c r="B10" t="s">
        <v>24</v>
      </c>
      <c r="C10" t="s">
        <v>29</v>
      </c>
      <c r="D10">
        <v>1056426</v>
      </c>
    </row>
    <row r="11" spans="1:4" x14ac:dyDescent="0.3">
      <c r="A11" t="s">
        <v>19</v>
      </c>
      <c r="B11" t="s">
        <v>24</v>
      </c>
      <c r="C11" t="s">
        <v>26</v>
      </c>
      <c r="D11">
        <v>1331479</v>
      </c>
    </row>
    <row r="12" spans="1:4" x14ac:dyDescent="0.3">
      <c r="A12" t="s">
        <v>19</v>
      </c>
      <c r="B12" t="s">
        <v>24</v>
      </c>
      <c r="C12" t="s">
        <v>28</v>
      </c>
      <c r="D12">
        <v>1334795</v>
      </c>
    </row>
    <row r="13" spans="1:4" x14ac:dyDescent="0.3">
      <c r="A13" t="s">
        <v>52</v>
      </c>
      <c r="B13" t="s">
        <v>62</v>
      </c>
      <c r="C13" t="s">
        <v>65</v>
      </c>
      <c r="D13">
        <v>1428557</v>
      </c>
    </row>
    <row r="14" spans="1:4" x14ac:dyDescent="0.3">
      <c r="A14" t="s">
        <v>52</v>
      </c>
      <c r="B14" t="s">
        <v>53</v>
      </c>
      <c r="C14" t="s">
        <v>56</v>
      </c>
      <c r="D14">
        <v>1683140</v>
      </c>
    </row>
    <row r="15" spans="1:4" x14ac:dyDescent="0.3">
      <c r="A15" t="s">
        <v>31</v>
      </c>
      <c r="B15" t="s">
        <v>37</v>
      </c>
      <c r="C15" t="s">
        <v>46</v>
      </c>
      <c r="D15">
        <v>1831102</v>
      </c>
    </row>
    <row r="16" spans="1:4" x14ac:dyDescent="0.3">
      <c r="A16" t="s">
        <v>4</v>
      </c>
      <c r="B16" t="s">
        <v>11</v>
      </c>
      <c r="C16" t="s">
        <v>16</v>
      </c>
      <c r="D16">
        <v>1907116</v>
      </c>
    </row>
    <row r="17" spans="1:4" x14ac:dyDescent="0.3">
      <c r="A17" t="s">
        <v>52</v>
      </c>
      <c r="B17" t="s">
        <v>53</v>
      </c>
      <c r="C17" t="s">
        <v>59</v>
      </c>
      <c r="D17">
        <v>2081015</v>
      </c>
    </row>
    <row r="18" spans="1:4" x14ac:dyDescent="0.3">
      <c r="A18" t="s">
        <v>4</v>
      </c>
      <c r="B18" t="s">
        <v>11</v>
      </c>
      <c r="C18" t="s">
        <v>13</v>
      </c>
      <c r="D18">
        <v>2907289</v>
      </c>
    </row>
    <row r="19" spans="1:4" x14ac:dyDescent="0.3">
      <c r="A19" t="s">
        <v>52</v>
      </c>
      <c r="B19" t="s">
        <v>53</v>
      </c>
      <c r="C19" t="s">
        <v>58</v>
      </c>
      <c r="D19">
        <v>2940058</v>
      </c>
    </row>
    <row r="20" spans="1:4" x14ac:dyDescent="0.3">
      <c r="A20" t="s">
        <v>31</v>
      </c>
      <c r="B20" t="s">
        <v>47</v>
      </c>
      <c r="C20" t="s">
        <v>48</v>
      </c>
      <c r="D20">
        <v>2988248</v>
      </c>
    </row>
    <row r="21" spans="1:4" x14ac:dyDescent="0.3">
      <c r="A21" t="s">
        <v>31</v>
      </c>
      <c r="B21" t="s">
        <v>32</v>
      </c>
      <c r="C21" t="s">
        <v>35</v>
      </c>
      <c r="D21">
        <v>2988726</v>
      </c>
    </row>
    <row r="22" spans="1:4" x14ac:dyDescent="0.3">
      <c r="A22" t="s">
        <v>52</v>
      </c>
      <c r="B22" t="s">
        <v>53</v>
      </c>
      <c r="C22" t="s">
        <v>60</v>
      </c>
      <c r="D22">
        <v>3051217</v>
      </c>
    </row>
    <row r="23" spans="1:4" x14ac:dyDescent="0.3">
      <c r="A23" t="s">
        <v>4</v>
      </c>
      <c r="B23" t="s">
        <v>11</v>
      </c>
      <c r="C23" t="s">
        <v>12</v>
      </c>
      <c r="D23">
        <v>3134693</v>
      </c>
    </row>
    <row r="24" spans="1:4" x14ac:dyDescent="0.3">
      <c r="A24" t="s">
        <v>19</v>
      </c>
      <c r="B24" t="s">
        <v>24</v>
      </c>
      <c r="C24" t="s">
        <v>25</v>
      </c>
      <c r="D24">
        <v>3576452</v>
      </c>
    </row>
    <row r="25" spans="1:4" x14ac:dyDescent="0.3">
      <c r="A25" t="s">
        <v>31</v>
      </c>
      <c r="B25" t="s">
        <v>47</v>
      </c>
      <c r="C25" t="s">
        <v>50</v>
      </c>
      <c r="D25">
        <v>3923561</v>
      </c>
    </row>
    <row r="26" spans="1:4" x14ac:dyDescent="0.3">
      <c r="A26" t="s">
        <v>52</v>
      </c>
      <c r="B26" t="s">
        <v>62</v>
      </c>
      <c r="C26" t="s">
        <v>66</v>
      </c>
      <c r="D26">
        <v>4093465</v>
      </c>
    </row>
    <row r="27" spans="1:4" x14ac:dyDescent="0.3">
      <c r="A27" t="s">
        <v>31</v>
      </c>
      <c r="B27" t="s">
        <v>32</v>
      </c>
      <c r="C27" t="s">
        <v>34</v>
      </c>
      <c r="D27">
        <v>4436974</v>
      </c>
    </row>
    <row r="28" spans="1:4" x14ac:dyDescent="0.3">
      <c r="A28" t="s">
        <v>31</v>
      </c>
      <c r="B28" t="s">
        <v>47</v>
      </c>
      <c r="C28" t="s">
        <v>49</v>
      </c>
      <c r="D28">
        <v>4681666</v>
      </c>
    </row>
    <row r="29" spans="1:4" x14ac:dyDescent="0.3">
      <c r="A29" t="s">
        <v>31</v>
      </c>
      <c r="B29" t="s">
        <v>32</v>
      </c>
      <c r="C29" t="s">
        <v>33</v>
      </c>
      <c r="D29">
        <v>4863300</v>
      </c>
    </row>
    <row r="30" spans="1:4" x14ac:dyDescent="0.3">
      <c r="A30" t="s">
        <v>31</v>
      </c>
      <c r="B30" t="s">
        <v>37</v>
      </c>
      <c r="C30" t="s">
        <v>44</v>
      </c>
      <c r="D30">
        <v>4961119</v>
      </c>
    </row>
    <row r="31" spans="1:4" x14ac:dyDescent="0.3">
      <c r="A31" t="s">
        <v>4</v>
      </c>
      <c r="B31" t="s">
        <v>11</v>
      </c>
      <c r="C31" t="s">
        <v>14</v>
      </c>
      <c r="D31">
        <v>5519952</v>
      </c>
    </row>
    <row r="32" spans="1:4" x14ac:dyDescent="0.3">
      <c r="A32" t="s">
        <v>52</v>
      </c>
      <c r="B32" t="s">
        <v>53</v>
      </c>
      <c r="C32" t="s">
        <v>55</v>
      </c>
      <c r="D32">
        <v>5540545</v>
      </c>
    </row>
    <row r="33" spans="1:4" x14ac:dyDescent="0.3">
      <c r="A33" t="s">
        <v>4</v>
      </c>
      <c r="B33" t="s">
        <v>5</v>
      </c>
      <c r="C33" t="s">
        <v>10</v>
      </c>
      <c r="D33">
        <v>5778708</v>
      </c>
    </row>
    <row r="34" spans="1:4" x14ac:dyDescent="0.3">
      <c r="A34" t="s">
        <v>31</v>
      </c>
      <c r="B34" t="s">
        <v>37</v>
      </c>
      <c r="C34" t="s">
        <v>42</v>
      </c>
      <c r="D34">
        <v>6016447</v>
      </c>
    </row>
    <row r="35" spans="1:4" x14ac:dyDescent="0.3">
      <c r="A35" t="s">
        <v>4</v>
      </c>
      <c r="B35" t="s">
        <v>11</v>
      </c>
      <c r="C35" t="s">
        <v>15</v>
      </c>
      <c r="D35">
        <v>6093000</v>
      </c>
    </row>
    <row r="36" spans="1:4" x14ac:dyDescent="0.3">
      <c r="A36" t="s">
        <v>4</v>
      </c>
      <c r="B36" t="s">
        <v>5</v>
      </c>
      <c r="C36" t="s">
        <v>7</v>
      </c>
      <c r="D36">
        <v>6633053</v>
      </c>
    </row>
    <row r="37" spans="1:4" x14ac:dyDescent="0.3">
      <c r="A37" t="s">
        <v>31</v>
      </c>
      <c r="B37" t="s">
        <v>32</v>
      </c>
      <c r="C37" t="s">
        <v>36</v>
      </c>
      <c r="D37">
        <v>6651194</v>
      </c>
    </row>
    <row r="38" spans="1:4" x14ac:dyDescent="0.3">
      <c r="A38" t="s">
        <v>19</v>
      </c>
      <c r="B38" t="s">
        <v>24</v>
      </c>
      <c r="C38" t="s">
        <v>27</v>
      </c>
      <c r="D38">
        <v>6811779</v>
      </c>
    </row>
    <row r="39" spans="1:4" x14ac:dyDescent="0.3">
      <c r="A39" t="s">
        <v>52</v>
      </c>
      <c r="B39" t="s">
        <v>53</v>
      </c>
      <c r="C39" t="s">
        <v>54</v>
      </c>
      <c r="D39">
        <v>6931071</v>
      </c>
    </row>
    <row r="40" spans="1:4" x14ac:dyDescent="0.3">
      <c r="A40" t="s">
        <v>52</v>
      </c>
      <c r="B40" t="s">
        <v>62</v>
      </c>
      <c r="C40" t="s">
        <v>67</v>
      </c>
      <c r="D40">
        <v>7288000</v>
      </c>
    </row>
    <row r="41" spans="1:4" x14ac:dyDescent="0.3">
      <c r="A41" t="s">
        <v>31</v>
      </c>
      <c r="B41" t="s">
        <v>37</v>
      </c>
      <c r="C41" t="s">
        <v>45</v>
      </c>
      <c r="D41">
        <v>8411808</v>
      </c>
    </row>
    <row r="42" spans="1:4" x14ac:dyDescent="0.3">
      <c r="A42" t="s">
        <v>19</v>
      </c>
      <c r="B42" t="s">
        <v>20</v>
      </c>
      <c r="C42" t="s">
        <v>21</v>
      </c>
      <c r="D42">
        <v>8944469</v>
      </c>
    </row>
    <row r="43" spans="1:4" x14ac:dyDescent="0.3">
      <c r="A43" t="s">
        <v>4</v>
      </c>
      <c r="B43" t="s">
        <v>5</v>
      </c>
      <c r="C43" t="s">
        <v>8</v>
      </c>
      <c r="D43">
        <v>9928300</v>
      </c>
    </row>
    <row r="44" spans="1:4" x14ac:dyDescent="0.3">
      <c r="A44" t="s">
        <v>31</v>
      </c>
      <c r="B44" t="s">
        <v>37</v>
      </c>
      <c r="C44" t="s">
        <v>43</v>
      </c>
      <c r="D44">
        <v>10146788</v>
      </c>
    </row>
    <row r="45" spans="1:4" x14ac:dyDescent="0.3">
      <c r="A45" t="s">
        <v>31</v>
      </c>
      <c r="B45" t="s">
        <v>37</v>
      </c>
      <c r="C45" t="s">
        <v>41</v>
      </c>
      <c r="D45">
        <v>10310371</v>
      </c>
    </row>
    <row r="46" spans="1:4" x14ac:dyDescent="0.3">
      <c r="A46" t="s">
        <v>4</v>
      </c>
      <c r="B46" t="s">
        <v>5</v>
      </c>
      <c r="C46" t="s">
        <v>9</v>
      </c>
      <c r="D46">
        <v>11614373</v>
      </c>
    </row>
    <row r="47" spans="1:4" x14ac:dyDescent="0.3">
      <c r="A47" t="s">
        <v>19</v>
      </c>
      <c r="B47" t="s">
        <v>20</v>
      </c>
      <c r="C47" t="s">
        <v>23</v>
      </c>
      <c r="D47">
        <v>12784227</v>
      </c>
    </row>
    <row r="48" spans="1:4" x14ac:dyDescent="0.3">
      <c r="A48" t="s">
        <v>4</v>
      </c>
      <c r="B48" t="s">
        <v>5</v>
      </c>
      <c r="C48" t="s">
        <v>6</v>
      </c>
      <c r="D48">
        <v>12801539</v>
      </c>
    </row>
    <row r="49" spans="1:4" x14ac:dyDescent="0.3">
      <c r="A49" t="s">
        <v>19</v>
      </c>
      <c r="B49" t="s">
        <v>20</v>
      </c>
      <c r="C49" t="s">
        <v>22</v>
      </c>
      <c r="D49">
        <v>19745289</v>
      </c>
    </row>
    <row r="50" spans="1:4" x14ac:dyDescent="0.3">
      <c r="A50" t="s">
        <v>31</v>
      </c>
      <c r="B50" t="s">
        <v>37</v>
      </c>
      <c r="C50" t="s">
        <v>40</v>
      </c>
      <c r="D50">
        <v>20612439</v>
      </c>
    </row>
    <row r="51" spans="1:4" x14ac:dyDescent="0.3">
      <c r="A51" t="s">
        <v>31</v>
      </c>
      <c r="B51" t="s">
        <v>47</v>
      </c>
      <c r="C51" t="s">
        <v>51</v>
      </c>
      <c r="D51">
        <v>27862596</v>
      </c>
    </row>
    <row r="52" spans="1:4" x14ac:dyDescent="0.3">
      <c r="A52" t="s">
        <v>52</v>
      </c>
      <c r="B52" t="s">
        <v>62</v>
      </c>
      <c r="C52" t="s">
        <v>64</v>
      </c>
      <c r="D52">
        <v>39250017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F875-C8CC-4BEC-ACB8-E517063AF267}">
  <dimension ref="A1:B53"/>
  <sheetViews>
    <sheetView workbookViewId="0"/>
  </sheetViews>
  <sheetFormatPr defaultRowHeight="14.4" x14ac:dyDescent="0.3"/>
  <cols>
    <col min="1" max="1" width="17.33203125" bestFit="1" customWidth="1"/>
    <col min="2" max="2" width="16.77734375" bestFit="1" customWidth="1"/>
  </cols>
  <sheetData>
    <row r="1" spans="1:2" x14ac:dyDescent="0.3">
      <c r="A1" s="2" t="s">
        <v>82</v>
      </c>
      <c r="B1" t="s">
        <v>81</v>
      </c>
    </row>
    <row r="2" spans="1:2" x14ac:dyDescent="0.3">
      <c r="A2" s="3" t="s">
        <v>33</v>
      </c>
      <c r="B2" s="1">
        <v>4863300</v>
      </c>
    </row>
    <row r="3" spans="1:2" x14ac:dyDescent="0.3">
      <c r="A3" s="3" t="s">
        <v>63</v>
      </c>
      <c r="B3" s="1">
        <v>741894</v>
      </c>
    </row>
    <row r="4" spans="1:2" x14ac:dyDescent="0.3">
      <c r="A4" s="3" t="s">
        <v>54</v>
      </c>
      <c r="B4" s="1">
        <v>6931071</v>
      </c>
    </row>
    <row r="5" spans="1:2" x14ac:dyDescent="0.3">
      <c r="A5" s="3" t="s">
        <v>48</v>
      </c>
      <c r="B5" s="1">
        <v>2988248</v>
      </c>
    </row>
    <row r="6" spans="1:2" x14ac:dyDescent="0.3">
      <c r="A6" s="3" t="s">
        <v>64</v>
      </c>
      <c r="B6" s="1">
        <v>39250017</v>
      </c>
    </row>
    <row r="7" spans="1:2" x14ac:dyDescent="0.3">
      <c r="A7" s="3" t="s">
        <v>55</v>
      </c>
      <c r="B7" s="1">
        <v>5540545</v>
      </c>
    </row>
    <row r="8" spans="1:2" x14ac:dyDescent="0.3">
      <c r="A8" s="3" t="s">
        <v>25</v>
      </c>
      <c r="B8" s="1">
        <v>3576452</v>
      </c>
    </row>
    <row r="9" spans="1:2" x14ac:dyDescent="0.3">
      <c r="A9" s="3" t="s">
        <v>38</v>
      </c>
      <c r="B9" s="1">
        <v>952065</v>
      </c>
    </row>
    <row r="10" spans="1:2" x14ac:dyDescent="0.3">
      <c r="A10" s="3" t="s">
        <v>39</v>
      </c>
      <c r="B10" s="1">
        <v>681170</v>
      </c>
    </row>
    <row r="11" spans="1:2" x14ac:dyDescent="0.3">
      <c r="A11" s="3" t="s">
        <v>40</v>
      </c>
      <c r="B11" s="1">
        <v>20612439</v>
      </c>
    </row>
    <row r="12" spans="1:2" x14ac:dyDescent="0.3">
      <c r="A12" s="3" t="s">
        <v>41</v>
      </c>
      <c r="B12" s="1">
        <v>10310371</v>
      </c>
    </row>
    <row r="13" spans="1:2" x14ac:dyDescent="0.3">
      <c r="A13" s="3" t="s">
        <v>65</v>
      </c>
      <c r="B13" s="1">
        <v>1428557</v>
      </c>
    </row>
    <row r="14" spans="1:2" x14ac:dyDescent="0.3">
      <c r="A14" s="3" t="s">
        <v>56</v>
      </c>
      <c r="B14" s="1">
        <v>1683140</v>
      </c>
    </row>
    <row r="15" spans="1:2" x14ac:dyDescent="0.3">
      <c r="A15" s="3" t="s">
        <v>6</v>
      </c>
      <c r="B15" s="1">
        <v>12801539</v>
      </c>
    </row>
    <row r="16" spans="1:2" x14ac:dyDescent="0.3">
      <c r="A16" s="3" t="s">
        <v>7</v>
      </c>
      <c r="B16" s="1">
        <v>6633053</v>
      </c>
    </row>
    <row r="17" spans="1:2" x14ac:dyDescent="0.3">
      <c r="A17" s="3" t="s">
        <v>12</v>
      </c>
      <c r="B17" s="1">
        <v>3134693</v>
      </c>
    </row>
    <row r="18" spans="1:2" x14ac:dyDescent="0.3">
      <c r="A18" s="3" t="s">
        <v>13</v>
      </c>
      <c r="B18" s="1">
        <v>2907289</v>
      </c>
    </row>
    <row r="19" spans="1:2" x14ac:dyDescent="0.3">
      <c r="A19" s="3" t="s">
        <v>34</v>
      </c>
      <c r="B19" s="1">
        <v>4436974</v>
      </c>
    </row>
    <row r="20" spans="1:2" x14ac:dyDescent="0.3">
      <c r="A20" s="3" t="s">
        <v>49</v>
      </c>
      <c r="B20" s="1">
        <v>4681666</v>
      </c>
    </row>
    <row r="21" spans="1:2" x14ac:dyDescent="0.3">
      <c r="A21" s="3" t="s">
        <v>26</v>
      </c>
      <c r="B21" s="1">
        <v>1331479</v>
      </c>
    </row>
    <row r="22" spans="1:2" x14ac:dyDescent="0.3">
      <c r="A22" s="3" t="s">
        <v>42</v>
      </c>
      <c r="B22" s="1">
        <v>6016447</v>
      </c>
    </row>
    <row r="23" spans="1:2" x14ac:dyDescent="0.3">
      <c r="A23" s="3" t="s">
        <v>27</v>
      </c>
      <c r="B23" s="1">
        <v>6811779</v>
      </c>
    </row>
    <row r="24" spans="1:2" x14ac:dyDescent="0.3">
      <c r="A24" s="3" t="s">
        <v>8</v>
      </c>
      <c r="B24" s="1">
        <v>9928300</v>
      </c>
    </row>
    <row r="25" spans="1:2" x14ac:dyDescent="0.3">
      <c r="A25" s="3" t="s">
        <v>14</v>
      </c>
      <c r="B25" s="1">
        <v>5519952</v>
      </c>
    </row>
    <row r="26" spans="1:2" x14ac:dyDescent="0.3">
      <c r="A26" s="3" t="s">
        <v>35</v>
      </c>
      <c r="B26" s="1">
        <v>2988726</v>
      </c>
    </row>
    <row r="27" spans="1:2" x14ac:dyDescent="0.3">
      <c r="A27" s="3" t="s">
        <v>15</v>
      </c>
      <c r="B27" s="1">
        <v>6093000</v>
      </c>
    </row>
    <row r="28" spans="1:2" x14ac:dyDescent="0.3">
      <c r="A28" s="3" t="s">
        <v>57</v>
      </c>
      <c r="B28" s="1">
        <v>1042520</v>
      </c>
    </row>
    <row r="29" spans="1:2" x14ac:dyDescent="0.3">
      <c r="A29" s="3" t="s">
        <v>16</v>
      </c>
      <c r="B29" s="1">
        <v>1907116</v>
      </c>
    </row>
    <row r="30" spans="1:2" x14ac:dyDescent="0.3">
      <c r="A30" s="3" t="s">
        <v>58</v>
      </c>
      <c r="B30" s="1">
        <v>2940058</v>
      </c>
    </row>
    <row r="31" spans="1:2" x14ac:dyDescent="0.3">
      <c r="A31" s="3" t="s">
        <v>28</v>
      </c>
      <c r="B31" s="1">
        <v>1334795</v>
      </c>
    </row>
    <row r="32" spans="1:2" x14ac:dyDescent="0.3">
      <c r="A32" s="3" t="s">
        <v>21</v>
      </c>
      <c r="B32" s="1">
        <v>8944469</v>
      </c>
    </row>
    <row r="33" spans="1:2" x14ac:dyDescent="0.3">
      <c r="A33" s="3" t="s">
        <v>59</v>
      </c>
      <c r="B33" s="1">
        <v>2081015</v>
      </c>
    </row>
    <row r="34" spans="1:2" x14ac:dyDescent="0.3">
      <c r="A34" s="3" t="s">
        <v>22</v>
      </c>
      <c r="B34" s="1">
        <v>19745289</v>
      </c>
    </row>
    <row r="35" spans="1:2" x14ac:dyDescent="0.3">
      <c r="A35" s="3" t="s">
        <v>43</v>
      </c>
      <c r="B35" s="1">
        <v>10146788</v>
      </c>
    </row>
    <row r="36" spans="1:2" x14ac:dyDescent="0.3">
      <c r="A36" s="3" t="s">
        <v>17</v>
      </c>
      <c r="B36" s="1">
        <v>757952</v>
      </c>
    </row>
    <row r="37" spans="1:2" x14ac:dyDescent="0.3">
      <c r="A37" s="3" t="s">
        <v>9</v>
      </c>
      <c r="B37" s="1">
        <v>11614373</v>
      </c>
    </row>
    <row r="38" spans="1:2" x14ac:dyDescent="0.3">
      <c r="A38" s="3" t="s">
        <v>50</v>
      </c>
      <c r="B38" s="1">
        <v>3923561</v>
      </c>
    </row>
    <row r="39" spans="1:2" x14ac:dyDescent="0.3">
      <c r="A39" s="3" t="s">
        <v>66</v>
      </c>
      <c r="B39" s="1">
        <v>4093465</v>
      </c>
    </row>
    <row r="40" spans="1:2" x14ac:dyDescent="0.3">
      <c r="A40" s="3" t="s">
        <v>23</v>
      </c>
      <c r="B40" s="1">
        <v>12784227</v>
      </c>
    </row>
    <row r="41" spans="1:2" x14ac:dyDescent="0.3">
      <c r="A41" s="3" t="s">
        <v>29</v>
      </c>
      <c r="B41" s="1">
        <v>1056426</v>
      </c>
    </row>
    <row r="42" spans="1:2" x14ac:dyDescent="0.3">
      <c r="A42" s="3" t="s">
        <v>44</v>
      </c>
      <c r="B42" s="1">
        <v>4961119</v>
      </c>
    </row>
    <row r="43" spans="1:2" x14ac:dyDescent="0.3">
      <c r="A43" s="3" t="s">
        <v>18</v>
      </c>
      <c r="B43" s="1">
        <v>865454</v>
      </c>
    </row>
    <row r="44" spans="1:2" x14ac:dyDescent="0.3">
      <c r="A44" s="3" t="s">
        <v>36</v>
      </c>
      <c r="B44" s="1">
        <v>6651194</v>
      </c>
    </row>
    <row r="45" spans="1:2" x14ac:dyDescent="0.3">
      <c r="A45" s="3" t="s">
        <v>51</v>
      </c>
      <c r="B45" s="1">
        <v>27862596</v>
      </c>
    </row>
    <row r="46" spans="1:2" x14ac:dyDescent="0.3">
      <c r="A46" s="3" t="s">
        <v>60</v>
      </c>
      <c r="B46" s="1">
        <v>3051217</v>
      </c>
    </row>
    <row r="47" spans="1:2" x14ac:dyDescent="0.3">
      <c r="A47" s="3" t="s">
        <v>30</v>
      </c>
      <c r="B47" s="1">
        <v>624594</v>
      </c>
    </row>
    <row r="48" spans="1:2" x14ac:dyDescent="0.3">
      <c r="A48" s="3" t="s">
        <v>45</v>
      </c>
      <c r="B48" s="1">
        <v>8411808</v>
      </c>
    </row>
    <row r="49" spans="1:2" x14ac:dyDescent="0.3">
      <c r="A49" s="3" t="s">
        <v>67</v>
      </c>
      <c r="B49" s="1">
        <v>7288000</v>
      </c>
    </row>
    <row r="50" spans="1:2" x14ac:dyDescent="0.3">
      <c r="A50" s="3" t="s">
        <v>46</v>
      </c>
      <c r="B50" s="1">
        <v>1831102</v>
      </c>
    </row>
    <row r="51" spans="1:2" x14ac:dyDescent="0.3">
      <c r="A51" s="3" t="s">
        <v>10</v>
      </c>
      <c r="B51" s="1">
        <v>5778708</v>
      </c>
    </row>
    <row r="52" spans="1:2" x14ac:dyDescent="0.3">
      <c r="A52" s="3" t="s">
        <v>61</v>
      </c>
      <c r="B52" s="1">
        <v>585501</v>
      </c>
    </row>
    <row r="53" spans="1:2" x14ac:dyDescent="0.3">
      <c r="A53" s="3" t="s">
        <v>83</v>
      </c>
      <c r="B53" s="1">
        <v>323127513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66FC-BF8B-450D-8B0B-F3B142372E68}">
  <dimension ref="A1:B11"/>
  <sheetViews>
    <sheetView workbookViewId="0">
      <selection sqref="A1:B11"/>
    </sheetView>
  </sheetViews>
  <sheetFormatPr defaultRowHeight="14.4" x14ac:dyDescent="0.3"/>
  <cols>
    <col min="1" max="1" width="10.44140625" bestFit="1" customWidth="1"/>
    <col min="2" max="2" width="37.5546875" bestFit="1" customWidth="1"/>
  </cols>
  <sheetData>
    <row r="1" spans="1:2" x14ac:dyDescent="0.3">
      <c r="A1" t="s">
        <v>69</v>
      </c>
      <c r="B1" t="s">
        <v>70</v>
      </c>
    </row>
    <row r="2" spans="1:2" x14ac:dyDescent="0.3">
      <c r="A2" t="s">
        <v>10</v>
      </c>
      <c r="B2" t="s">
        <v>71</v>
      </c>
    </row>
    <row r="3" spans="1:2" x14ac:dyDescent="0.3">
      <c r="A3" t="s">
        <v>9</v>
      </c>
      <c r="B3" t="s">
        <v>72</v>
      </c>
    </row>
    <row r="4" spans="1:2" x14ac:dyDescent="0.3">
      <c r="A4" t="s">
        <v>16</v>
      </c>
      <c r="B4" t="s">
        <v>73</v>
      </c>
    </row>
    <row r="5" spans="1:2" x14ac:dyDescent="0.3">
      <c r="A5" t="s">
        <v>15</v>
      </c>
      <c r="B5" t="s">
        <v>74</v>
      </c>
    </row>
    <row r="6" spans="1:2" x14ac:dyDescent="0.3">
      <c r="A6" t="s">
        <v>14</v>
      </c>
      <c r="B6" t="s">
        <v>75</v>
      </c>
    </row>
    <row r="7" spans="1:2" x14ac:dyDescent="0.3">
      <c r="A7" t="s">
        <v>8</v>
      </c>
      <c r="B7" t="s">
        <v>76</v>
      </c>
    </row>
    <row r="8" spans="1:2" x14ac:dyDescent="0.3">
      <c r="A8" t="s">
        <v>13</v>
      </c>
      <c r="B8" t="s">
        <v>77</v>
      </c>
    </row>
    <row r="9" spans="1:2" x14ac:dyDescent="0.3">
      <c r="A9" t="s">
        <v>12</v>
      </c>
      <c r="B9" t="s">
        <v>78</v>
      </c>
    </row>
    <row r="10" spans="1:2" x14ac:dyDescent="0.3">
      <c r="A10" t="s">
        <v>7</v>
      </c>
      <c r="B10" t="s">
        <v>79</v>
      </c>
    </row>
    <row r="11" spans="1:2" x14ac:dyDescent="0.3">
      <c r="A11" t="s">
        <v>6</v>
      </c>
      <c r="B11" t="s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6C8B-9BA6-4705-BA44-9927A02EF2A0}">
  <dimension ref="A1:B21"/>
  <sheetViews>
    <sheetView workbookViewId="0"/>
  </sheetViews>
  <sheetFormatPr defaultRowHeight="14.4" x14ac:dyDescent="0.3"/>
  <cols>
    <col min="1" max="1" width="9.6640625" bestFit="1" customWidth="1"/>
    <col min="2" max="2" width="12.109375" bestFit="1" customWidth="1"/>
  </cols>
  <sheetData>
    <row r="1" spans="1:2" x14ac:dyDescent="0.3">
      <c r="A1" t="s">
        <v>69</v>
      </c>
      <c r="B1" t="s">
        <v>70</v>
      </c>
    </row>
    <row r="2" spans="1:2" x14ac:dyDescent="0.3">
      <c r="A2" s="1" t="s">
        <v>10</v>
      </c>
      <c r="B2" s="1" t="s">
        <v>84</v>
      </c>
    </row>
    <row r="3" spans="1:2" x14ac:dyDescent="0.3">
      <c r="A3" s="1" t="s">
        <v>10</v>
      </c>
      <c r="B3" s="1" t="s">
        <v>85</v>
      </c>
    </row>
    <row r="4" spans="1:2" x14ac:dyDescent="0.3">
      <c r="A4" s="1" t="s">
        <v>9</v>
      </c>
      <c r="B4" s="1" t="s">
        <v>86</v>
      </c>
    </row>
    <row r="5" spans="1:2" x14ac:dyDescent="0.3">
      <c r="A5" s="1" t="s">
        <v>9</v>
      </c>
      <c r="B5" s="1" t="s">
        <v>87</v>
      </c>
    </row>
    <row r="6" spans="1:2" x14ac:dyDescent="0.3">
      <c r="A6" s="1" t="s">
        <v>9</v>
      </c>
      <c r="B6" s="1" t="s">
        <v>88</v>
      </c>
    </row>
    <row r="7" spans="1:2" x14ac:dyDescent="0.3">
      <c r="A7" s="1" t="s">
        <v>9</v>
      </c>
      <c r="B7" s="1" t="s">
        <v>89</v>
      </c>
    </row>
    <row r="8" spans="1:2" x14ac:dyDescent="0.3">
      <c r="A8" s="1" t="s">
        <v>16</v>
      </c>
      <c r="B8" s="1" t="s">
        <v>90</v>
      </c>
    </row>
    <row r="9" spans="1:2" x14ac:dyDescent="0.3">
      <c r="A9" s="1" t="s">
        <v>16</v>
      </c>
      <c r="B9" s="1" t="s">
        <v>91</v>
      </c>
    </row>
    <row r="10" spans="1:2" x14ac:dyDescent="0.3">
      <c r="A10" s="1" t="s">
        <v>15</v>
      </c>
      <c r="B10" s="1" t="s">
        <v>92</v>
      </c>
    </row>
    <row r="11" spans="1:2" x14ac:dyDescent="0.3">
      <c r="A11" s="1" t="s">
        <v>15</v>
      </c>
      <c r="B11" s="1" t="s">
        <v>93</v>
      </c>
    </row>
    <row r="12" spans="1:2" x14ac:dyDescent="0.3">
      <c r="A12" s="1" t="s">
        <v>14</v>
      </c>
      <c r="B12" s="1" t="s">
        <v>94</v>
      </c>
    </row>
    <row r="13" spans="1:2" x14ac:dyDescent="0.3">
      <c r="A13" s="1" t="s">
        <v>14</v>
      </c>
      <c r="B13" s="1" t="s">
        <v>95</v>
      </c>
    </row>
    <row r="14" spans="1:2" x14ac:dyDescent="0.3">
      <c r="A14" s="1" t="s">
        <v>8</v>
      </c>
      <c r="B14" s="1" t="s">
        <v>96</v>
      </c>
    </row>
    <row r="15" spans="1:2" x14ac:dyDescent="0.3">
      <c r="A15" s="1" t="s">
        <v>8</v>
      </c>
      <c r="B15" s="1" t="s">
        <v>97</v>
      </c>
    </row>
    <row r="16" spans="1:2" x14ac:dyDescent="0.3">
      <c r="A16" s="1" t="s">
        <v>13</v>
      </c>
      <c r="B16" s="1" t="s">
        <v>77</v>
      </c>
    </row>
    <row r="17" spans="1:2" x14ac:dyDescent="0.3">
      <c r="A17" s="1" t="s">
        <v>12</v>
      </c>
      <c r="B17" s="1" t="s">
        <v>78</v>
      </c>
    </row>
    <row r="18" spans="1:2" x14ac:dyDescent="0.3">
      <c r="A18" s="1" t="s">
        <v>7</v>
      </c>
      <c r="B18" s="1" t="s">
        <v>98</v>
      </c>
    </row>
    <row r="19" spans="1:2" x14ac:dyDescent="0.3">
      <c r="A19" s="1" t="s">
        <v>7</v>
      </c>
      <c r="B19" s="1" t="s">
        <v>99</v>
      </c>
    </row>
    <row r="20" spans="1:2" x14ac:dyDescent="0.3">
      <c r="A20" s="1" t="s">
        <v>6</v>
      </c>
      <c r="B20" s="1" t="s">
        <v>100</v>
      </c>
    </row>
    <row r="21" spans="1:2" x14ac:dyDescent="0.3">
      <c r="A21" s="1" t="s">
        <v>6</v>
      </c>
      <c r="B21" s="1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E73D25-0C05-4A60-8400-3082F73015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states</vt:lpstr>
      <vt:lpstr>states_transformed</vt:lpstr>
      <vt:lpstr>states_pivottable</vt:lpstr>
      <vt:lpstr>midwest_cities</vt:lpstr>
      <vt:lpstr>cities_transformed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</dc:creator>
  <cp:lastModifiedBy>Shraddha kr</cp:lastModifiedBy>
  <dcterms:created xsi:type="dcterms:W3CDTF">2019-12-26T21:23:19Z</dcterms:created>
  <dcterms:modified xsi:type="dcterms:W3CDTF">2026-02-23T06:30:02Z</dcterms:modified>
</cp:coreProperties>
</file>